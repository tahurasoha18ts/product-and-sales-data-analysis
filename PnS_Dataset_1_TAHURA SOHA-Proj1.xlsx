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44d7393b1ca11a/Desktop/I SEMESTER/PROB AND STATS/PROJ1/"/>
    </mc:Choice>
  </mc:AlternateContent>
  <xr:revisionPtr revIDLastSave="652" documentId="8_{502D92AF-8DCF-4DF1-96FE-400462DEE631}" xr6:coauthVersionLast="47" xr6:coauthVersionMax="47" xr10:uidLastSave="{B9543570-58AF-494A-8B7D-C4B8BABB1F3C}"/>
  <bookViews>
    <workbookView xWindow="-108" yWindow="-108" windowWidth="23256" windowHeight="12456" xr2:uid="{1402AF01-4F40-4950-B0EB-1E1EBDC3116F}"/>
  </bookViews>
  <sheets>
    <sheet name="Sheet1" sheetId="1" r:id="rId1"/>
  </sheets>
  <definedNames>
    <definedName name="_xlnm._FilterDatabase" localSheetId="0" hidden="1">Sheet1!$B$1:$B$120</definedName>
    <definedName name="_xlchart.v1.0" hidden="1">Sheet1!$B$1</definedName>
    <definedName name="_xlchart.v1.1" hidden="1">Sheet1!$B$2:$B$120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3" i="1" l="1"/>
  <c r="F59" i="1"/>
  <c r="H59" i="1" s="1"/>
  <c r="I59" i="1" s="1"/>
  <c r="K60" i="1"/>
  <c r="F60" i="1"/>
  <c r="H60" i="1" s="1"/>
  <c r="I60" i="1" s="1"/>
  <c r="F62" i="1"/>
  <c r="H62" i="1" s="1"/>
  <c r="F61" i="1"/>
  <c r="H61" i="1" s="1"/>
  <c r="J60" i="1" l="1"/>
  <c r="I62" i="1"/>
  <c r="J62" i="1" s="1"/>
  <c r="K62" i="1" s="1"/>
  <c r="I61" i="1"/>
  <c r="J61" i="1" s="1"/>
  <c r="K61" i="1" s="1"/>
  <c r="H63" i="1"/>
  <c r="J59" i="1"/>
  <c r="K59" i="1" s="1"/>
  <c r="K63" i="1" l="1"/>
  <c r="G63" i="1"/>
  <c r="E5" i="1"/>
  <c r="E36" i="1"/>
  <c r="E35" i="1"/>
  <c r="E34" i="1"/>
  <c r="E33" i="1"/>
  <c r="E23" i="1"/>
  <c r="E22" i="1"/>
  <c r="E17" i="1"/>
  <c r="E16" i="1"/>
  <c r="E15" i="1"/>
  <c r="E7" i="1"/>
  <c r="E6" i="1"/>
</calcChain>
</file>

<file path=xl/sharedStrings.xml><?xml version="1.0" encoding="utf-8"?>
<sst xmlns="http://schemas.openxmlformats.org/spreadsheetml/2006/main" count="28" uniqueCount="28">
  <si>
    <t>MEAN</t>
  </si>
  <si>
    <t>MEDIAN</t>
  </si>
  <si>
    <t>STANDARD DEVIATION</t>
  </si>
  <si>
    <t>Q1</t>
  </si>
  <si>
    <t>Q2</t>
  </si>
  <si>
    <t>Q3</t>
  </si>
  <si>
    <t>MIN</t>
  </si>
  <si>
    <t>MAX</t>
  </si>
  <si>
    <t>RANGE</t>
  </si>
  <si>
    <t>100-150</t>
  </si>
  <si>
    <t>Frequency</t>
  </si>
  <si>
    <t>151-200</t>
  </si>
  <si>
    <t>201-250</t>
  </si>
  <si>
    <t>251-300</t>
  </si>
  <si>
    <t xml:space="preserve">Weight (g) of Apple </t>
  </si>
  <si>
    <t>QUARTILES</t>
  </si>
  <si>
    <t>SNO</t>
  </si>
  <si>
    <r>
      <rPr>
        <i/>
        <sz val="13.3"/>
        <color rgb="FF0D0D0D"/>
        <rFont val="KaTeX_Math"/>
      </rPr>
      <t>X</t>
    </r>
    <r>
      <rPr>
        <sz val="13.3"/>
        <color rgb="FF0D0D0D"/>
        <rFont val="Times New Roman"/>
        <family val="1"/>
      </rPr>
      <t>≤150</t>
    </r>
  </si>
  <si>
    <r>
      <t>150&lt;</t>
    </r>
    <r>
      <rPr>
        <i/>
        <sz val="13.3"/>
        <color rgb="FF0D0D0D"/>
        <rFont val="KaTeX_Math"/>
      </rPr>
      <t>X</t>
    </r>
    <r>
      <rPr>
        <sz val="13.3"/>
        <color rgb="FF0D0D0D"/>
        <rFont val="Times New Roman"/>
        <family val="1"/>
      </rPr>
      <t>≤200</t>
    </r>
  </si>
  <si>
    <r>
      <t>200&lt;</t>
    </r>
    <r>
      <rPr>
        <i/>
        <sz val="13.3"/>
        <color rgb="FF0D0D0D"/>
        <rFont val="KaTeX_Math"/>
      </rPr>
      <t>X</t>
    </r>
    <r>
      <rPr>
        <sz val="13.3"/>
        <color rgb="FF0D0D0D"/>
        <rFont val="Times New Roman"/>
        <family val="1"/>
      </rPr>
      <t>≤250</t>
    </r>
  </si>
  <si>
    <r>
      <rPr>
        <i/>
        <sz val="13.3"/>
        <color rgb="FF0D0D0D"/>
        <rFont val="KaTeX_Math"/>
      </rPr>
      <t>X</t>
    </r>
    <r>
      <rPr>
        <sz val="13.3"/>
        <color rgb="FF0D0D0D"/>
        <rFont val="Times New Roman"/>
        <family val="1"/>
      </rPr>
      <t>&gt;250</t>
    </r>
  </si>
  <si>
    <t>Class</t>
  </si>
  <si>
    <t>Observed Frequency</t>
  </si>
  <si>
    <t>Class Probability</t>
  </si>
  <si>
    <t>Expected Frequency (ei)</t>
  </si>
  <si>
    <t>Oi-ei</t>
  </si>
  <si>
    <t>(Oi-ei)^2</t>
  </si>
  <si>
    <t>Chi Square component[(Oi-ei)^2/ei]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</si>
</sst>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9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2"/>
      <color rgb="FF0D0D0D"/>
      <name val="Times New Roman"/>
      <family val="1"/>
    </font>
    <font>
      <sz val="13.3"/>
      <color rgb="FF0D0D0D"/>
      <name val="Times New Roman"/>
      <family val="1"/>
    </font>
    <font>
      <i/>
      <sz val="13.3"/>
      <color rgb="FF0D0D0D"/>
      <name val="KaTeX_Math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0" borderId="1" xfId="0" applyFont="1" applyBorder="1"/>
    <xf numFmtId="0" fontId="5" fillId="0" borderId="0" xfId="0" applyFont="1"/>
    <xf numFmtId="2" fontId="0" fillId="0" borderId="1" xfId="0" applyNumberFormat="1" applyBorder="1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/>
    <xf numFmtId="0" fontId="6" fillId="0" borderId="0" xfId="0" applyFont="1"/>
    <xf numFmtId="0" fontId="0" fillId="4" borderId="0" xfId="0" applyFill="1"/>
    <xf numFmtId="0" fontId="7" fillId="0" borderId="0" xfId="0" applyFont="1" applyAlignment="1">
      <alignment horizontal="left" vertical="center" indent="1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.3"/>
        <color rgb="FF0D0D0D"/>
        <name val="Times New Roman"/>
        <family val="1"/>
        <scheme val="none"/>
      </font>
      <alignment horizontal="left" vertical="center" textRotation="0" wrapText="0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Freqeuncy Histogram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Sheet1!$D$33:$D$36</c:f>
              <c:strCache>
                <c:ptCount val="4"/>
                <c:pt idx="0">
                  <c:v>100-150</c:v>
                </c:pt>
                <c:pt idx="1">
                  <c:v>151-200</c:v>
                </c:pt>
                <c:pt idx="2">
                  <c:v>201-250</c:v>
                </c:pt>
                <c:pt idx="3">
                  <c:v>251-300</c:v>
                </c:pt>
              </c:strCache>
            </c:strRef>
          </c:cat>
          <c:val>
            <c:numRef>
              <c:f>Sheet1!$E$33:$E$36</c:f>
              <c:numCache>
                <c:formatCode>General</c:formatCode>
                <c:ptCount val="4"/>
                <c:pt idx="0">
                  <c:v>30</c:v>
                </c:pt>
                <c:pt idx="1">
                  <c:v>29</c:v>
                </c:pt>
                <c:pt idx="2">
                  <c:v>39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EC-4C52-9FDD-8E1F50AA79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61826719"/>
        <c:axId val="1952565343"/>
      </c:barChart>
      <c:catAx>
        <c:axId val="1761826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565343"/>
        <c:crosses val="autoZero"/>
        <c:auto val="1"/>
        <c:lblAlgn val="ctr"/>
        <c:lblOffset val="100"/>
        <c:noMultiLvlLbl val="0"/>
      </c:catAx>
      <c:valAx>
        <c:axId val="195256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layout>
            <c:manualLayout>
              <c:xMode val="edge"/>
              <c:yMode val="edge"/>
              <c:x val="2.2539910727755148E-2"/>
              <c:y val="0.385778838237843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826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BOX AND WHISKER 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effectLst/>
              <a:latin typeface="Calibri" panose="020F0502020204030204"/>
              <a:ea typeface="Calibri" panose="020F0502020204030204" pitchFamily="34" charset="0"/>
              <a:cs typeface="Calibri" panose="020F0502020204030204" pitchFamily="34" charset="0"/>
            </a:rPr>
            <a:t>BOX AND WHISKER PLOT</a:t>
          </a:r>
        </a:p>
      </cx:txPr>
    </cx:title>
    <cx:plotArea>
      <cx:plotAreaRegion>
        <cx:series layoutId="boxWhisker" uniqueId="{8420F567-F865-488B-BBBA-9EAB8059F9E7}">
          <cx:tx>
            <cx:txData>
              <cx:f>_xlchart.v1.0</cx:f>
              <cx:v>Weight (g) of Apple </cx:v>
            </cx:txData>
          </cx:tx>
          <cx:dataLabels/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56304</xdr:colOff>
      <xdr:row>2</xdr:row>
      <xdr:rowOff>35442</xdr:rowOff>
    </xdr:from>
    <xdr:to>
      <xdr:col>16</xdr:col>
      <xdr:colOff>203791</xdr:colOff>
      <xdr:row>19</xdr:row>
      <xdr:rowOff>115187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D242E2B-A5C7-272A-9696-263F9BBE15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08864" y="401202"/>
              <a:ext cx="6715927" cy="31887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385570</xdr:colOff>
      <xdr:row>30</xdr:row>
      <xdr:rowOff>158586</xdr:rowOff>
    </xdr:from>
    <xdr:to>
      <xdr:col>18</xdr:col>
      <xdr:colOff>398861</xdr:colOff>
      <xdr:row>55</xdr:row>
      <xdr:rowOff>46270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324B53-6FEE-6411-EF05-A746CC5163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CA9618-0928-444A-8B3E-99D075C53C2E}" name="Table1" displayName="Table1" ref="E58:K63" totalsRowShown="0">
  <autoFilter ref="E58:K63" xr:uid="{A5CA9618-0928-444A-8B3E-99D075C53C2E}"/>
  <tableColumns count="7">
    <tableColumn id="1" xr3:uid="{E1A9C1FA-1F0A-4E10-AD4B-B5190D9EBB75}" name="Class" dataDxfId="0"/>
    <tableColumn id="2" xr3:uid="{E6EC0D7B-56EC-455F-AC04-0D5DEB868A42}" name="Class Probability"/>
    <tableColumn id="3" xr3:uid="{251FC4FC-951F-412C-AF8B-4CCE8375A8B7}" name="Observed Frequency"/>
    <tableColumn id="4" xr3:uid="{855D2325-2991-458E-A844-FE4C833EF296}" name="Expected Frequency (ei)"/>
    <tableColumn id="5" xr3:uid="{BF77BFC1-50B7-4F84-B6EE-36C95FBA1FA1}" name="Oi-ei"/>
    <tableColumn id="6" xr3:uid="{C4122580-9AFC-4427-BCE8-A549902623A8}" name="(Oi-ei)^2"/>
    <tableColumn id="7" xr3:uid="{26300779-D50B-48DB-9EC3-19B144CFE53C}" name="Chi Square component[(Oi-ei)^2/ei]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66A7F-1FF7-4603-9EAC-85446869A162}">
  <dimension ref="A1:K120"/>
  <sheetViews>
    <sheetView tabSelected="1" zoomScale="42" zoomScaleNormal="126" workbookViewId="0">
      <selection activeCell="H59" sqref="H59"/>
    </sheetView>
  </sheetViews>
  <sheetFormatPr defaultRowHeight="14.4" x14ac:dyDescent="0.3"/>
  <cols>
    <col min="2" max="2" width="22.6640625" customWidth="1"/>
    <col min="4" max="4" width="12.33203125" customWidth="1"/>
    <col min="5" max="5" width="25.21875" customWidth="1"/>
    <col min="6" max="6" width="13.6640625" customWidth="1"/>
    <col min="7" max="7" width="20.5546875" bestFit="1" customWidth="1"/>
    <col min="8" max="8" width="19.77734375" customWidth="1"/>
    <col min="10" max="10" width="9.77734375" customWidth="1"/>
    <col min="11" max="11" width="32.6640625" customWidth="1"/>
    <col min="12" max="12" width="8.88671875" customWidth="1"/>
  </cols>
  <sheetData>
    <row r="1" spans="1:5" x14ac:dyDescent="0.3">
      <c r="A1" s="5" t="s">
        <v>16</v>
      </c>
      <c r="B1" s="5" t="s">
        <v>14</v>
      </c>
    </row>
    <row r="2" spans="1:5" x14ac:dyDescent="0.3">
      <c r="A2" s="3">
        <v>1</v>
      </c>
      <c r="B2" s="3">
        <v>220</v>
      </c>
    </row>
    <row r="3" spans="1:5" x14ac:dyDescent="0.3">
      <c r="A3" s="3">
        <v>2</v>
      </c>
      <c r="B3" s="3">
        <v>240</v>
      </c>
    </row>
    <row r="4" spans="1:5" x14ac:dyDescent="0.3">
      <c r="A4" s="3">
        <v>3</v>
      </c>
      <c r="B4" s="3">
        <v>183</v>
      </c>
      <c r="D4" s="1"/>
    </row>
    <row r="5" spans="1:5" x14ac:dyDescent="0.3">
      <c r="A5" s="3">
        <v>4</v>
      </c>
      <c r="B5" s="3">
        <v>140</v>
      </c>
      <c r="D5" s="4" t="s">
        <v>0</v>
      </c>
      <c r="E5" s="9">
        <f>AVERAGE(B2:B120)</f>
        <v>198.0420168067227</v>
      </c>
    </row>
    <row r="6" spans="1:5" x14ac:dyDescent="0.3">
      <c r="A6" s="3">
        <v>5</v>
      </c>
      <c r="B6" s="3">
        <v>218</v>
      </c>
      <c r="D6" s="4" t="s">
        <v>1</v>
      </c>
      <c r="E6" s="3">
        <f>MEDIAN(B2:B120)</f>
        <v>202</v>
      </c>
    </row>
    <row r="7" spans="1:5" x14ac:dyDescent="0.3">
      <c r="A7" s="3">
        <v>6</v>
      </c>
      <c r="B7" s="3">
        <v>205</v>
      </c>
      <c r="D7" s="4" t="s">
        <v>2</v>
      </c>
      <c r="E7" s="9">
        <f>STDEV(B2:B120)</f>
        <v>53.87656875029073</v>
      </c>
    </row>
    <row r="8" spans="1:5" x14ac:dyDescent="0.3">
      <c r="A8" s="3">
        <v>7</v>
      </c>
      <c r="B8" s="3">
        <v>215</v>
      </c>
    </row>
    <row r="9" spans="1:5" x14ac:dyDescent="0.3">
      <c r="A9" s="3">
        <v>8</v>
      </c>
      <c r="B9" s="3">
        <v>185</v>
      </c>
    </row>
    <row r="10" spans="1:5" x14ac:dyDescent="0.3">
      <c r="A10" s="3">
        <v>9</v>
      </c>
      <c r="B10" s="3">
        <v>165</v>
      </c>
    </row>
    <row r="11" spans="1:5" x14ac:dyDescent="0.3">
      <c r="A11" s="3">
        <v>10</v>
      </c>
      <c r="B11" s="3">
        <v>175</v>
      </c>
    </row>
    <row r="12" spans="1:5" x14ac:dyDescent="0.3">
      <c r="A12" s="3">
        <v>11</v>
      </c>
      <c r="B12" s="3">
        <v>210</v>
      </c>
    </row>
    <row r="13" spans="1:5" x14ac:dyDescent="0.3">
      <c r="A13" s="3">
        <v>12</v>
      </c>
      <c r="B13" s="3">
        <v>185</v>
      </c>
      <c r="D13" s="1"/>
    </row>
    <row r="14" spans="1:5" x14ac:dyDescent="0.3">
      <c r="A14" s="3">
        <v>13</v>
      </c>
      <c r="B14" s="3">
        <v>160</v>
      </c>
      <c r="D14" s="7" t="s">
        <v>15</v>
      </c>
    </row>
    <row r="15" spans="1:5" x14ac:dyDescent="0.3">
      <c r="A15" s="3">
        <v>14</v>
      </c>
      <c r="B15" s="3">
        <v>170</v>
      </c>
      <c r="D15" s="4" t="s">
        <v>3</v>
      </c>
      <c r="E15" s="3">
        <f>_xlfn.QUARTILE.EXC(B2:B120,1)</f>
        <v>150</v>
      </c>
    </row>
    <row r="16" spans="1:5" x14ac:dyDescent="0.3">
      <c r="A16" s="3">
        <v>15</v>
      </c>
      <c r="B16" s="3">
        <v>205</v>
      </c>
      <c r="D16" s="4" t="s">
        <v>4</v>
      </c>
      <c r="E16" s="3">
        <f>_xlfn.QUARTILE.EXC(B2:B120,2)</f>
        <v>202</v>
      </c>
    </row>
    <row r="17" spans="1:5" x14ac:dyDescent="0.3">
      <c r="A17" s="3">
        <v>16</v>
      </c>
      <c r="B17" s="3">
        <v>165</v>
      </c>
      <c r="D17" s="4" t="s">
        <v>5</v>
      </c>
      <c r="E17" s="3">
        <f>_xlfn.QUARTILE.EXC(B2:B120,3)</f>
        <v>240</v>
      </c>
    </row>
    <row r="18" spans="1:5" x14ac:dyDescent="0.3">
      <c r="A18" s="3">
        <v>17</v>
      </c>
      <c r="B18" s="3">
        <v>215</v>
      </c>
    </row>
    <row r="19" spans="1:5" x14ac:dyDescent="0.3">
      <c r="A19" s="3">
        <v>18</v>
      </c>
      <c r="B19" s="3">
        <v>190</v>
      </c>
    </row>
    <row r="20" spans="1:5" x14ac:dyDescent="0.3">
      <c r="A20" s="3">
        <v>19</v>
      </c>
      <c r="B20" s="3">
        <v>175</v>
      </c>
    </row>
    <row r="21" spans="1:5" x14ac:dyDescent="0.3">
      <c r="A21" s="3">
        <v>20</v>
      </c>
      <c r="B21" s="3">
        <v>190</v>
      </c>
    </row>
    <row r="22" spans="1:5" x14ac:dyDescent="0.3">
      <c r="A22" s="3">
        <v>21</v>
      </c>
      <c r="B22" s="3">
        <v>225</v>
      </c>
      <c r="D22" s="4" t="s">
        <v>6</v>
      </c>
      <c r="E22" s="3">
        <f>MIN(B2:B120)</f>
        <v>100</v>
      </c>
    </row>
    <row r="23" spans="1:5" x14ac:dyDescent="0.3">
      <c r="A23" s="3">
        <v>22</v>
      </c>
      <c r="B23" s="3">
        <v>210</v>
      </c>
      <c r="D23" s="4" t="s">
        <v>7</v>
      </c>
      <c r="E23" s="3">
        <f>MAX(B2:B120)</f>
        <v>300</v>
      </c>
    </row>
    <row r="24" spans="1:5" x14ac:dyDescent="0.3">
      <c r="A24" s="3">
        <v>23</v>
      </c>
      <c r="B24" s="3">
        <v>185</v>
      </c>
    </row>
    <row r="25" spans="1:5" x14ac:dyDescent="0.3">
      <c r="A25" s="3">
        <v>24</v>
      </c>
      <c r="B25" s="3">
        <v>170</v>
      </c>
    </row>
    <row r="26" spans="1:5" x14ac:dyDescent="0.3">
      <c r="A26" s="3">
        <v>25</v>
      </c>
      <c r="B26" s="3">
        <v>230</v>
      </c>
    </row>
    <row r="27" spans="1:5" x14ac:dyDescent="0.3">
      <c r="A27" s="3">
        <v>26</v>
      </c>
      <c r="B27" s="3">
        <v>190</v>
      </c>
    </row>
    <row r="28" spans="1:5" x14ac:dyDescent="0.3">
      <c r="A28" s="3">
        <v>27</v>
      </c>
      <c r="B28" s="3">
        <v>210</v>
      </c>
    </row>
    <row r="29" spans="1:5" x14ac:dyDescent="0.3">
      <c r="A29" s="3">
        <v>28</v>
      </c>
      <c r="B29" s="3">
        <v>150</v>
      </c>
    </row>
    <row r="30" spans="1:5" x14ac:dyDescent="0.3">
      <c r="A30" s="3">
        <v>29</v>
      </c>
      <c r="B30" s="3">
        <v>130</v>
      </c>
    </row>
    <row r="31" spans="1:5" x14ac:dyDescent="0.3">
      <c r="A31" s="3">
        <v>30</v>
      </c>
      <c r="B31" s="3">
        <v>120</v>
      </c>
    </row>
    <row r="32" spans="1:5" ht="15.6" x14ac:dyDescent="0.3">
      <c r="A32" s="3">
        <v>31</v>
      </c>
      <c r="B32" s="3">
        <v>247</v>
      </c>
      <c r="D32" s="5" t="s">
        <v>8</v>
      </c>
      <c r="E32" s="6" t="s">
        <v>10</v>
      </c>
    </row>
    <row r="33" spans="1:5" x14ac:dyDescent="0.3">
      <c r="A33" s="3">
        <v>32</v>
      </c>
      <c r="B33" s="3">
        <v>140</v>
      </c>
      <c r="D33" s="2" t="s">
        <v>9</v>
      </c>
      <c r="E33" s="3">
        <f>COUNTIFS(B2:B120,"&gt;=0",B2:B120,"&lt;=150")</f>
        <v>30</v>
      </c>
    </row>
    <row r="34" spans="1:5" x14ac:dyDescent="0.3">
      <c r="A34" s="3">
        <v>33</v>
      </c>
      <c r="B34" s="3">
        <v>177</v>
      </c>
      <c r="D34" s="2" t="s">
        <v>11</v>
      </c>
      <c r="E34" s="3">
        <f>COUNTIFS(B2:B120,"&gt;=151",B2:B120,"&lt;=200")</f>
        <v>29</v>
      </c>
    </row>
    <row r="35" spans="1:5" x14ac:dyDescent="0.3">
      <c r="A35" s="3">
        <v>34</v>
      </c>
      <c r="B35" s="3">
        <v>110</v>
      </c>
      <c r="D35" s="2" t="s">
        <v>12</v>
      </c>
      <c r="E35" s="3">
        <f>COUNTIFS(B2:B120,"&gt;=201",B2:B120,"&lt;=250")</f>
        <v>39</v>
      </c>
    </row>
    <row r="36" spans="1:5" x14ac:dyDescent="0.3">
      <c r="A36" s="3">
        <v>35</v>
      </c>
      <c r="B36" s="3">
        <v>125</v>
      </c>
      <c r="D36" s="2" t="s">
        <v>13</v>
      </c>
      <c r="E36" s="3">
        <f>COUNTIFS(B2:B120,"&gt;=251",B2:B120,"&lt;=300")</f>
        <v>21</v>
      </c>
    </row>
    <row r="37" spans="1:5" x14ac:dyDescent="0.3">
      <c r="A37" s="3">
        <v>36</v>
      </c>
      <c r="B37" s="3">
        <v>135</v>
      </c>
    </row>
    <row r="38" spans="1:5" x14ac:dyDescent="0.3">
      <c r="A38" s="3">
        <v>37</v>
      </c>
      <c r="B38" s="3">
        <v>105</v>
      </c>
    </row>
    <row r="39" spans="1:5" x14ac:dyDescent="0.3">
      <c r="A39" s="3">
        <v>38</v>
      </c>
      <c r="B39" s="3">
        <v>120</v>
      </c>
    </row>
    <row r="40" spans="1:5" x14ac:dyDescent="0.3">
      <c r="A40" s="3">
        <v>39</v>
      </c>
      <c r="B40" s="3">
        <v>130</v>
      </c>
    </row>
    <row r="41" spans="1:5" x14ac:dyDescent="0.3">
      <c r="A41" s="3">
        <v>40</v>
      </c>
      <c r="B41" s="3">
        <v>140</v>
      </c>
    </row>
    <row r="42" spans="1:5" x14ac:dyDescent="0.3">
      <c r="A42" s="3">
        <v>41</v>
      </c>
      <c r="B42" s="3">
        <v>100</v>
      </c>
    </row>
    <row r="43" spans="1:5" x14ac:dyDescent="0.3">
      <c r="A43" s="3">
        <v>42</v>
      </c>
      <c r="B43" s="3">
        <v>135</v>
      </c>
    </row>
    <row r="44" spans="1:5" x14ac:dyDescent="0.3">
      <c r="A44" s="3">
        <v>43</v>
      </c>
      <c r="B44" s="3">
        <v>115</v>
      </c>
    </row>
    <row r="45" spans="1:5" x14ac:dyDescent="0.3">
      <c r="A45" s="3">
        <v>44</v>
      </c>
      <c r="B45" s="3">
        <v>140</v>
      </c>
    </row>
    <row r="46" spans="1:5" x14ac:dyDescent="0.3">
      <c r="A46" s="3">
        <v>45</v>
      </c>
      <c r="B46" s="3">
        <v>130</v>
      </c>
    </row>
    <row r="47" spans="1:5" x14ac:dyDescent="0.3">
      <c r="A47" s="3">
        <v>46</v>
      </c>
      <c r="B47" s="3">
        <v>120</v>
      </c>
    </row>
    <row r="48" spans="1:5" x14ac:dyDescent="0.3">
      <c r="A48" s="3">
        <v>47</v>
      </c>
      <c r="B48" s="3">
        <v>115</v>
      </c>
    </row>
    <row r="49" spans="1:11" x14ac:dyDescent="0.3">
      <c r="A49" s="3">
        <v>48</v>
      </c>
      <c r="B49" s="3">
        <v>118</v>
      </c>
    </row>
    <row r="50" spans="1:11" x14ac:dyDescent="0.3">
      <c r="A50" s="3">
        <v>49</v>
      </c>
      <c r="B50" s="3">
        <v>130</v>
      </c>
    </row>
    <row r="51" spans="1:11" x14ac:dyDescent="0.3">
      <c r="A51" s="3">
        <v>50</v>
      </c>
      <c r="B51" s="3">
        <v>123</v>
      </c>
    </row>
    <row r="52" spans="1:11" x14ac:dyDescent="0.3">
      <c r="A52" s="3">
        <v>51</v>
      </c>
      <c r="B52" s="3">
        <v>269</v>
      </c>
    </row>
    <row r="53" spans="1:11" x14ac:dyDescent="0.3">
      <c r="A53" s="3">
        <v>52</v>
      </c>
      <c r="B53" s="3">
        <v>152</v>
      </c>
    </row>
    <row r="54" spans="1:11" x14ac:dyDescent="0.3">
      <c r="A54" s="3">
        <v>53</v>
      </c>
      <c r="B54" s="3">
        <v>270</v>
      </c>
    </row>
    <row r="55" spans="1:11" x14ac:dyDescent="0.3">
      <c r="A55" s="3">
        <v>54</v>
      </c>
      <c r="B55" s="3">
        <v>246</v>
      </c>
    </row>
    <row r="56" spans="1:11" x14ac:dyDescent="0.3">
      <c r="A56" s="3">
        <v>55</v>
      </c>
      <c r="B56" s="3">
        <v>253</v>
      </c>
    </row>
    <row r="57" spans="1:11" x14ac:dyDescent="0.3">
      <c r="A57" s="3">
        <v>56</v>
      </c>
      <c r="B57" s="3">
        <v>298</v>
      </c>
    </row>
    <row r="58" spans="1:11" x14ac:dyDescent="0.3">
      <c r="A58" s="3">
        <v>57</v>
      </c>
      <c r="B58" s="3">
        <v>243</v>
      </c>
      <c r="E58" t="s">
        <v>21</v>
      </c>
      <c r="F58" t="s">
        <v>23</v>
      </c>
      <c r="G58" t="s">
        <v>22</v>
      </c>
      <c r="H58" t="s">
        <v>24</v>
      </c>
      <c r="I58" t="s">
        <v>25</v>
      </c>
      <c r="J58" t="s">
        <v>26</v>
      </c>
      <c r="K58" t="s">
        <v>27</v>
      </c>
    </row>
    <row r="59" spans="1:11" ht="17.399999999999999" x14ac:dyDescent="0.3">
      <c r="A59" s="3">
        <v>58</v>
      </c>
      <c r="B59" s="3">
        <v>108</v>
      </c>
      <c r="E59" s="16" t="s">
        <v>17</v>
      </c>
      <c r="F59">
        <f>NORMDIST(150, 198.04, 53.88, 1)</f>
        <v>0.18630073943446446</v>
      </c>
      <c r="G59">
        <v>23</v>
      </c>
      <c r="H59">
        <f>F59*119</f>
        <v>22.16978799270127</v>
      </c>
      <c r="I59">
        <f>G59-H59</f>
        <v>0.83021200729873001</v>
      </c>
      <c r="J59">
        <f>I59*I59</f>
        <v>0.68925197706298658</v>
      </c>
      <c r="K59">
        <f>J59/H59</f>
        <v>3.1089696360195318E-2</v>
      </c>
    </row>
    <row r="60" spans="1:11" ht="17.399999999999999" x14ac:dyDescent="0.3">
      <c r="A60" s="3">
        <v>59</v>
      </c>
      <c r="B60" s="3">
        <v>180</v>
      </c>
      <c r="E60" s="16" t="s">
        <v>18</v>
      </c>
      <c r="F60">
        <f>NORMDIST(200, 198.04, 53.88,1) - NORMDIST(150, 198.04, 53.88,1)</f>
        <v>0.32820843744703176</v>
      </c>
      <c r="G60">
        <v>35</v>
      </c>
      <c r="H60">
        <f t="shared" ref="H60:H62" si="0">F60*119</f>
        <v>39.056804056196782</v>
      </c>
      <c r="I60">
        <f>G60-H60</f>
        <v>-4.056804056196782</v>
      </c>
      <c r="J60">
        <f t="shared" ref="J60:J62" si="1">I60*I60</f>
        <v>16.457659150374663</v>
      </c>
      <c r="K60">
        <f>J60/H60</f>
        <v>0.42137751790173622</v>
      </c>
    </row>
    <row r="61" spans="1:11" ht="17.399999999999999" x14ac:dyDescent="0.3">
      <c r="A61" s="3">
        <v>60</v>
      </c>
      <c r="B61" s="3">
        <v>210</v>
      </c>
      <c r="E61" s="16" t="s">
        <v>19</v>
      </c>
      <c r="F61">
        <f>NORMDIST(250, 198.04, 53.88,1) - NORMDIST(200, 198.04, 53.88,1)</f>
        <v>0.3180594056914825</v>
      </c>
      <c r="G61">
        <v>40</v>
      </c>
      <c r="H61">
        <f t="shared" si="0"/>
        <v>37.849069277286418</v>
      </c>
      <c r="I61">
        <f>G61-H61</f>
        <v>2.1509307227135821</v>
      </c>
      <c r="J61">
        <f t="shared" si="1"/>
        <v>4.6265029739131727</v>
      </c>
      <c r="K61">
        <f>J61/H61</f>
        <v>0.12223558101307343</v>
      </c>
    </row>
    <row r="62" spans="1:11" ht="17.399999999999999" x14ac:dyDescent="0.3">
      <c r="A62" s="3">
        <v>61</v>
      </c>
      <c r="B62" s="3">
        <v>126</v>
      </c>
      <c r="E62" s="16" t="s">
        <v>20</v>
      </c>
      <c r="F62">
        <f>1-NORMDIST(250, 198.04, 53.88, 1)</f>
        <v>0.16743141742702128</v>
      </c>
      <c r="G62">
        <v>21</v>
      </c>
      <c r="H62">
        <f t="shared" si="0"/>
        <v>19.924338673815534</v>
      </c>
      <c r="I62">
        <f>G62-H62</f>
        <v>1.0756613261844663</v>
      </c>
      <c r="J62">
        <f t="shared" si="1"/>
        <v>1.1570472886489249</v>
      </c>
      <c r="K62">
        <f>J62/H62</f>
        <v>5.8072054866719902E-2</v>
      </c>
    </row>
    <row r="63" spans="1:11" x14ac:dyDescent="0.3">
      <c r="A63" s="3">
        <v>62</v>
      </c>
      <c r="B63" s="3">
        <v>190</v>
      </c>
      <c r="F63">
        <f>SUBTOTAL(109,F59:F62)</f>
        <v>1</v>
      </c>
      <c r="G63" s="15">
        <f>SUM(G59:G62)</f>
        <v>119</v>
      </c>
      <c r="H63" s="15">
        <f>SUM(H59:H62)</f>
        <v>119</v>
      </c>
      <c r="K63" s="15">
        <f>SUM(K59:K62)</f>
        <v>0.63277485014172496</v>
      </c>
    </row>
    <row r="64" spans="1:11" ht="18" x14ac:dyDescent="0.35">
      <c r="A64" s="3">
        <v>63</v>
      </c>
      <c r="B64" s="3">
        <v>200</v>
      </c>
      <c r="E64" s="14"/>
      <c r="F64" s="8"/>
    </row>
    <row r="65" spans="1:9" x14ac:dyDescent="0.3">
      <c r="A65" s="3">
        <v>64</v>
      </c>
      <c r="B65" s="3">
        <v>230</v>
      </c>
    </row>
    <row r="66" spans="1:9" x14ac:dyDescent="0.3">
      <c r="A66" s="3">
        <v>65</v>
      </c>
      <c r="B66" s="3">
        <v>180</v>
      </c>
    </row>
    <row r="67" spans="1:9" x14ac:dyDescent="0.3">
      <c r="A67" s="3">
        <v>66</v>
      </c>
      <c r="B67" s="3">
        <v>190</v>
      </c>
    </row>
    <row r="68" spans="1:9" x14ac:dyDescent="0.3">
      <c r="A68" s="3">
        <v>67</v>
      </c>
      <c r="B68" s="3">
        <v>220</v>
      </c>
    </row>
    <row r="69" spans="1:9" x14ac:dyDescent="0.3">
      <c r="A69" s="3">
        <v>68</v>
      </c>
      <c r="B69" s="3">
        <v>225</v>
      </c>
    </row>
    <row r="70" spans="1:9" x14ac:dyDescent="0.3">
      <c r="A70" s="3">
        <v>69</v>
      </c>
      <c r="B70" s="3">
        <v>200</v>
      </c>
    </row>
    <row r="71" spans="1:9" x14ac:dyDescent="0.3">
      <c r="A71" s="3">
        <v>70</v>
      </c>
      <c r="B71" s="3">
        <v>215</v>
      </c>
    </row>
    <row r="72" spans="1:9" x14ac:dyDescent="0.3">
      <c r="A72" s="3">
        <v>71</v>
      </c>
      <c r="B72" s="3">
        <v>220</v>
      </c>
    </row>
    <row r="73" spans="1:9" x14ac:dyDescent="0.3">
      <c r="A73" s="3">
        <v>72</v>
      </c>
      <c r="B73" s="3">
        <v>185</v>
      </c>
    </row>
    <row r="74" spans="1:9" x14ac:dyDescent="0.3">
      <c r="A74" s="3">
        <v>73</v>
      </c>
      <c r="B74" s="3">
        <v>200</v>
      </c>
    </row>
    <row r="75" spans="1:9" x14ac:dyDescent="0.3">
      <c r="A75" s="3">
        <v>74</v>
      </c>
      <c r="B75" s="3">
        <v>220</v>
      </c>
    </row>
    <row r="76" spans="1:9" x14ac:dyDescent="0.3">
      <c r="A76" s="3">
        <v>75</v>
      </c>
      <c r="B76" s="3">
        <v>210</v>
      </c>
    </row>
    <row r="77" spans="1:9" x14ac:dyDescent="0.3">
      <c r="A77" s="3">
        <v>76</v>
      </c>
      <c r="B77" s="3">
        <v>200</v>
      </c>
    </row>
    <row r="78" spans="1:9" x14ac:dyDescent="0.3">
      <c r="A78" s="3">
        <v>77</v>
      </c>
      <c r="B78" s="3">
        <v>205</v>
      </c>
    </row>
    <row r="79" spans="1:9" x14ac:dyDescent="0.3">
      <c r="A79" s="3">
        <v>78</v>
      </c>
      <c r="B79" s="3">
        <v>220</v>
      </c>
    </row>
    <row r="80" spans="1:9" ht="18" x14ac:dyDescent="0.35">
      <c r="A80" s="3">
        <v>79</v>
      </c>
      <c r="B80" s="3">
        <v>158</v>
      </c>
      <c r="D80" s="12"/>
      <c r="E80" s="8"/>
      <c r="F80" s="11"/>
      <c r="G80" s="13"/>
      <c r="I80" s="11"/>
    </row>
    <row r="81" spans="1:9" ht="18" x14ac:dyDescent="0.35">
      <c r="A81" s="3">
        <v>80</v>
      </c>
      <c r="B81" s="3">
        <v>192</v>
      </c>
      <c r="D81" s="12"/>
      <c r="E81" s="8"/>
      <c r="F81" s="11"/>
      <c r="G81" s="13"/>
      <c r="I81" s="11"/>
    </row>
    <row r="82" spans="1:9" ht="18" x14ac:dyDescent="0.35">
      <c r="A82" s="3">
        <v>81</v>
      </c>
      <c r="B82" s="3">
        <v>220</v>
      </c>
      <c r="D82" s="12"/>
      <c r="E82" s="8"/>
      <c r="F82" s="11"/>
      <c r="G82" s="13"/>
      <c r="I82" s="11"/>
    </row>
    <row r="83" spans="1:9" ht="18" x14ac:dyDescent="0.35">
      <c r="A83" s="3">
        <v>82</v>
      </c>
      <c r="B83" s="3">
        <v>137</v>
      </c>
      <c r="D83" s="12"/>
      <c r="E83" s="8"/>
      <c r="F83" s="11"/>
      <c r="G83" s="13"/>
      <c r="I83" s="11"/>
    </row>
    <row r="84" spans="1:9" ht="18" x14ac:dyDescent="0.35">
      <c r="A84" s="3">
        <v>83</v>
      </c>
      <c r="B84" s="3">
        <v>236</v>
      </c>
      <c r="D84" s="12"/>
      <c r="E84" s="8"/>
      <c r="F84" s="11"/>
      <c r="G84" s="13"/>
      <c r="I84" s="11"/>
    </row>
    <row r="85" spans="1:9" ht="18" x14ac:dyDescent="0.35">
      <c r="A85" s="3">
        <v>84</v>
      </c>
      <c r="B85" s="3">
        <v>293</v>
      </c>
      <c r="D85" s="12"/>
      <c r="E85" s="8"/>
      <c r="F85" s="11"/>
      <c r="G85" s="13"/>
      <c r="I85" s="11"/>
    </row>
    <row r="86" spans="1:9" ht="18" x14ac:dyDescent="0.35">
      <c r="A86" s="3">
        <v>85</v>
      </c>
      <c r="B86" s="3">
        <v>209</v>
      </c>
      <c r="D86" s="12"/>
      <c r="E86" s="8"/>
      <c r="F86" s="11"/>
      <c r="G86" s="13"/>
      <c r="I86" s="11"/>
    </row>
    <row r="87" spans="1:9" ht="18" x14ac:dyDescent="0.35">
      <c r="A87" s="3">
        <v>86</v>
      </c>
      <c r="B87" s="3">
        <v>169</v>
      </c>
      <c r="D87" s="12"/>
      <c r="E87" s="8"/>
      <c r="F87" s="11"/>
      <c r="G87" s="13"/>
      <c r="I87" s="11"/>
    </row>
    <row r="88" spans="1:9" x14ac:dyDescent="0.3">
      <c r="A88" s="3">
        <v>87</v>
      </c>
      <c r="B88" s="3">
        <v>252</v>
      </c>
      <c r="H88" s="10"/>
    </row>
    <row r="89" spans="1:9" x14ac:dyDescent="0.3">
      <c r="A89" s="3">
        <v>88</v>
      </c>
      <c r="B89" s="3">
        <v>297</v>
      </c>
      <c r="E89" s="11"/>
    </row>
    <row r="90" spans="1:9" x14ac:dyDescent="0.3">
      <c r="A90" s="3">
        <v>89</v>
      </c>
      <c r="B90" s="3">
        <v>250</v>
      </c>
    </row>
    <row r="91" spans="1:9" x14ac:dyDescent="0.3">
      <c r="A91" s="3">
        <v>90</v>
      </c>
      <c r="B91" s="3">
        <v>270</v>
      </c>
    </row>
    <row r="92" spans="1:9" x14ac:dyDescent="0.3">
      <c r="A92" s="3">
        <v>91</v>
      </c>
      <c r="B92" s="3">
        <v>260</v>
      </c>
    </row>
    <row r="93" spans="1:9" x14ac:dyDescent="0.3">
      <c r="A93" s="3">
        <v>92</v>
      </c>
      <c r="B93" s="3">
        <v>300</v>
      </c>
    </row>
    <row r="94" spans="1:9" x14ac:dyDescent="0.3">
      <c r="A94" s="3">
        <v>93</v>
      </c>
      <c r="B94" s="3">
        <v>280</v>
      </c>
    </row>
    <row r="95" spans="1:9" x14ac:dyDescent="0.3">
      <c r="A95" s="3">
        <v>94</v>
      </c>
      <c r="B95" s="3">
        <v>111</v>
      </c>
    </row>
    <row r="96" spans="1:9" x14ac:dyDescent="0.3">
      <c r="A96" s="3">
        <v>95</v>
      </c>
      <c r="B96" s="3">
        <v>240</v>
      </c>
    </row>
    <row r="97" spans="1:2" x14ac:dyDescent="0.3">
      <c r="A97" s="3">
        <v>96</v>
      </c>
      <c r="B97" s="3">
        <v>245</v>
      </c>
    </row>
    <row r="98" spans="1:2" x14ac:dyDescent="0.3">
      <c r="A98" s="3">
        <v>97</v>
      </c>
      <c r="B98" s="3">
        <v>285</v>
      </c>
    </row>
    <row r="99" spans="1:2" x14ac:dyDescent="0.3">
      <c r="A99" s="3">
        <v>98</v>
      </c>
      <c r="B99" s="3">
        <v>260</v>
      </c>
    </row>
    <row r="100" spans="1:2" x14ac:dyDescent="0.3">
      <c r="A100" s="3">
        <v>99</v>
      </c>
      <c r="B100" s="3">
        <v>240</v>
      </c>
    </row>
    <row r="101" spans="1:2" x14ac:dyDescent="0.3">
      <c r="A101" s="3">
        <v>100</v>
      </c>
      <c r="B101" s="3">
        <v>275</v>
      </c>
    </row>
    <row r="102" spans="1:2" x14ac:dyDescent="0.3">
      <c r="A102" s="3">
        <v>101</v>
      </c>
      <c r="B102" s="3">
        <v>230</v>
      </c>
    </row>
    <row r="103" spans="1:2" x14ac:dyDescent="0.3">
      <c r="A103" s="3">
        <v>102</v>
      </c>
      <c r="B103" s="3">
        <v>290</v>
      </c>
    </row>
    <row r="104" spans="1:2" x14ac:dyDescent="0.3">
      <c r="A104" s="3">
        <v>103</v>
      </c>
      <c r="B104" s="3">
        <v>255</v>
      </c>
    </row>
    <row r="105" spans="1:2" x14ac:dyDescent="0.3">
      <c r="A105" s="3">
        <v>104</v>
      </c>
      <c r="B105" s="3">
        <v>235</v>
      </c>
    </row>
    <row r="106" spans="1:2" x14ac:dyDescent="0.3">
      <c r="A106" s="3">
        <v>105</v>
      </c>
      <c r="B106" s="3">
        <v>240</v>
      </c>
    </row>
    <row r="107" spans="1:2" x14ac:dyDescent="0.3">
      <c r="A107" s="3">
        <v>106</v>
      </c>
      <c r="B107" s="3">
        <v>280</v>
      </c>
    </row>
    <row r="108" spans="1:2" x14ac:dyDescent="0.3">
      <c r="A108" s="3">
        <v>107</v>
      </c>
      <c r="B108" s="3">
        <v>270</v>
      </c>
    </row>
    <row r="109" spans="1:2" x14ac:dyDescent="0.3">
      <c r="A109" s="3">
        <v>108</v>
      </c>
      <c r="B109" s="3">
        <v>235</v>
      </c>
    </row>
    <row r="110" spans="1:2" x14ac:dyDescent="0.3">
      <c r="A110" s="3">
        <v>109</v>
      </c>
      <c r="B110" s="3">
        <v>250</v>
      </c>
    </row>
    <row r="111" spans="1:2" x14ac:dyDescent="0.3">
      <c r="A111" s="3">
        <v>110</v>
      </c>
      <c r="B111" s="3">
        <v>240</v>
      </c>
    </row>
    <row r="112" spans="1:2" x14ac:dyDescent="0.3">
      <c r="A112" s="3">
        <v>111</v>
      </c>
      <c r="B112" s="3">
        <v>280</v>
      </c>
    </row>
    <row r="113" spans="1:2" x14ac:dyDescent="0.3">
      <c r="A113" s="3">
        <v>112</v>
      </c>
      <c r="B113" s="3">
        <v>127</v>
      </c>
    </row>
    <row r="114" spans="1:2" x14ac:dyDescent="0.3">
      <c r="A114" s="3">
        <v>113</v>
      </c>
      <c r="B114" s="3">
        <v>202</v>
      </c>
    </row>
    <row r="115" spans="1:2" x14ac:dyDescent="0.3">
      <c r="A115" s="3">
        <v>114</v>
      </c>
      <c r="B115" s="3">
        <v>143</v>
      </c>
    </row>
    <row r="116" spans="1:2" x14ac:dyDescent="0.3">
      <c r="A116" s="3">
        <v>115</v>
      </c>
      <c r="B116" s="3">
        <v>120</v>
      </c>
    </row>
    <row r="117" spans="1:2" x14ac:dyDescent="0.3">
      <c r="A117" s="3">
        <v>116</v>
      </c>
      <c r="B117" s="3">
        <v>184</v>
      </c>
    </row>
    <row r="118" spans="1:2" x14ac:dyDescent="0.3">
      <c r="A118" s="3">
        <v>117</v>
      </c>
      <c r="B118" s="3">
        <v>279</v>
      </c>
    </row>
    <row r="119" spans="1:2" x14ac:dyDescent="0.3">
      <c r="A119" s="3">
        <v>118</v>
      </c>
      <c r="B119" s="3">
        <v>260</v>
      </c>
    </row>
    <row r="120" spans="1:2" x14ac:dyDescent="0.3">
      <c r="A120" s="3">
        <v>119</v>
      </c>
      <c r="B120" s="3">
        <v>117</v>
      </c>
    </row>
  </sheetData>
  <sortState xmlns:xlrd2="http://schemas.microsoft.com/office/spreadsheetml/2017/richdata2" ref="S2:S5">
    <sortCondition ref="S2"/>
  </sortState>
  <pageMargins left="0.7" right="0.7" top="0.75" bottom="0.75" header="0.3" footer="0.3"/>
  <customProperties>
    <customPr name="EpmWorksheetKeyString_GUID" r:id="rId1"/>
  </customPropertie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Tharun Kumar</dc:creator>
  <cp:lastModifiedBy>TAHURA SOHA</cp:lastModifiedBy>
  <dcterms:created xsi:type="dcterms:W3CDTF">2024-03-25T22:00:47Z</dcterms:created>
  <dcterms:modified xsi:type="dcterms:W3CDTF">2025-12-15T04:06:02Z</dcterms:modified>
</cp:coreProperties>
</file>