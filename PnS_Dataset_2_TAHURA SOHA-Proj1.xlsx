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44d7393b1ca11a/Desktop/I SEMESTER/PROB AND STATS/PROJ1/"/>
    </mc:Choice>
  </mc:AlternateContent>
  <xr:revisionPtr revIDLastSave="258" documentId="8_{C501AC65-2C77-462D-AF83-329198A33398}" xr6:coauthVersionLast="47" xr6:coauthVersionMax="47" xr10:uidLastSave="{52598F6D-B03B-4CD9-9419-74CE9DF178B0}"/>
  <bookViews>
    <workbookView xWindow="-108" yWindow="-108" windowWidth="23256" windowHeight="12456" xr2:uid="{193D9073-8E5C-46C6-8737-7228BCA3997C}"/>
  </bookViews>
  <sheets>
    <sheet name="Sheet1" sheetId="1" r:id="rId1"/>
  </sheets>
  <definedNames>
    <definedName name="_xlchart.v1.0" hidden="1">Sheet1!$D$2:$D$101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3" i="1" l="1"/>
  <c r="L81" i="1"/>
  <c r="L74" i="1"/>
  <c r="L75" i="1"/>
  <c r="L76" i="1"/>
  <c r="L77" i="1"/>
  <c r="L78" i="1"/>
  <c r="L79" i="1"/>
  <c r="L80" i="1"/>
  <c r="K81" i="1"/>
  <c r="K74" i="1"/>
  <c r="K75" i="1"/>
  <c r="K76" i="1"/>
  <c r="K77" i="1"/>
  <c r="K78" i="1"/>
  <c r="K79" i="1"/>
  <c r="K80" i="1"/>
  <c r="K73" i="1"/>
  <c r="I81" i="1"/>
  <c r="J81" i="1"/>
  <c r="J80" i="1"/>
  <c r="J79" i="1"/>
  <c r="J78" i="1"/>
  <c r="J77" i="1"/>
  <c r="J76" i="1"/>
  <c r="J75" i="1"/>
  <c r="J74" i="1"/>
  <c r="J73" i="1"/>
  <c r="H14" i="1"/>
  <c r="H13" i="1"/>
  <c r="H55" i="1"/>
  <c r="H54" i="1"/>
  <c r="H53" i="1"/>
  <c r="H52" i="1"/>
  <c r="H51" i="1"/>
  <c r="H50" i="1"/>
  <c r="H49" i="1"/>
  <c r="H48" i="1"/>
  <c r="H11" i="1"/>
  <c r="H10" i="1"/>
  <c r="H9" i="1"/>
  <c r="H6" i="1"/>
  <c r="H5" i="1"/>
  <c r="H4" i="1"/>
</calcChain>
</file>

<file path=xl/sharedStrings.xml><?xml version="1.0" encoding="utf-8"?>
<sst xmlns="http://schemas.openxmlformats.org/spreadsheetml/2006/main" count="144" uniqueCount="136">
  <si>
    <t>person</t>
  </si>
  <si>
    <t>Entry Time (uc subway)</t>
  </si>
  <si>
    <t>Interval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</si>
  <si>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</si>
  <si>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</si>
  <si>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</si>
  <si>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</si>
  <si>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</si>
  <si>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</si>
  <si>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</si>
  <si>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</si>
  <si>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</si>
  <si>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</si>
  <si>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</si>
  <si>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</si>
  <si>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</si>
  <si>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</si>
  <si>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</si>
  <si>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</si>
  <si>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</si>
  <si>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</si>
  <si>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</si>
  <si>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</si>
  <si>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</si>
  <si>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</si>
  <si>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</si>
  <si>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</si>
  <si>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</si>
  <si>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</si>
  <si>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</si>
  <si>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</si>
  <si>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</si>
  <si>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</si>
  <si>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</si>
  <si>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</si>
  <si>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</si>
  <si>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</si>
  <si>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</si>
  <si>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</si>
  <si>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</si>
  <si>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</si>
  <si>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</si>
  <si>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</si>
  <si>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</si>
  <si>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</si>
  <si>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</si>
  <si>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</si>
  <si>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</si>
  <si>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</si>
  <si>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</si>
  <si>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</si>
  <si>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</si>
  <si>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</si>
  <si>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</si>
  <si>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</si>
  <si>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</si>
  <si>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</si>
  <si>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</si>
  <si>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</si>
  <si>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</si>
  <si>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</si>
  <si>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</si>
  <si>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</si>
  <si>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</si>
  <si>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</si>
  <si>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</si>
  <si>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</si>
  <si>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</si>
  <si>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</si>
  <si>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</si>
  <si>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</si>
  <si>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</si>
  <si>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</si>
  <si>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</si>
  <si>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</si>
  <si>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</si>
  <si>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</si>
  <si>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</si>
  <si>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</si>
  <si>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</si>
  <si>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</si>
  <si>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</si>
  <si>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</si>
  <si>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</si>
  <si>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</si>
  <si>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</si>
  <si>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</si>
  <si>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</si>
  <si>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</si>
  <si>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</si>
  <si>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</si>
  <si>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</si>
  <si>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</si>
  <si>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</si>
  <si>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</si>
  <si>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</si>
  <si>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</si>
  <si>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</si>
  <si>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</si>
  <si>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</si>
  <si>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</si>
  <si>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</si>
  <si>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</si>
  <si>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MEAN</t>
  </si>
  <si>
    <t>MEDIAN</t>
  </si>
  <si>
    <t>STD DEVIATION</t>
  </si>
  <si>
    <t>QUARTILES</t>
  </si>
  <si>
    <t>Q1</t>
  </si>
  <si>
    <t>Q2</t>
  </si>
  <si>
    <t>Q3</t>
  </si>
  <si>
    <t>Range</t>
  </si>
  <si>
    <t xml:space="preserve">0 - 30 </t>
  </si>
  <si>
    <t xml:space="preserve">60 - 90 </t>
  </si>
  <si>
    <t xml:space="preserve">90 - 120 </t>
  </si>
  <si>
    <t xml:space="preserve">120 - 150 </t>
  </si>
  <si>
    <t xml:space="preserve">150 - 180 </t>
  </si>
  <si>
    <t xml:space="preserve">180 - 210 </t>
  </si>
  <si>
    <t xml:space="preserve">210 - 240 </t>
  </si>
  <si>
    <t>Frequency</t>
  </si>
  <si>
    <t xml:space="preserve">30- 60 </t>
  </si>
  <si>
    <t>Sno</t>
  </si>
  <si>
    <t>MIN</t>
  </si>
  <si>
    <t>MAX</t>
  </si>
  <si>
    <t>0≤X≤30</t>
  </si>
  <si>
    <t>Class Interval</t>
  </si>
  <si>
    <t>Observed Frequency</t>
  </si>
  <si>
    <t>Class Probability</t>
  </si>
  <si>
    <r>
      <t xml:space="preserve">30 &lt; </t>
    </r>
    <r>
      <rPr>
        <i/>
        <sz val="12"/>
        <color rgb="FF0D0D0D"/>
        <rFont val="Calibri"/>
        <family val="2"/>
        <scheme val="minor"/>
      </rPr>
      <t xml:space="preserve">X </t>
    </r>
    <r>
      <rPr>
        <sz val="12"/>
        <color rgb="FF0D0D0D"/>
        <rFont val="Calibri"/>
        <family val="2"/>
        <scheme val="minor"/>
      </rPr>
      <t>≤ 60</t>
    </r>
  </si>
  <si>
    <r>
      <t xml:space="preserve">60 &lt; </t>
    </r>
    <r>
      <rPr>
        <i/>
        <sz val="12"/>
        <color rgb="FF0D0D0D"/>
        <rFont val="Calibri"/>
        <family val="2"/>
        <scheme val="minor"/>
      </rPr>
      <t xml:space="preserve">X </t>
    </r>
    <r>
      <rPr>
        <sz val="12"/>
        <color rgb="FF0D0D0D"/>
        <rFont val="Calibri"/>
        <family val="2"/>
        <scheme val="minor"/>
      </rPr>
      <t>≤ 90</t>
    </r>
  </si>
  <si>
    <r>
      <t xml:space="preserve">90 &lt; </t>
    </r>
    <r>
      <rPr>
        <i/>
        <sz val="12"/>
        <color rgb="FF0D0D0D"/>
        <rFont val="Calibri"/>
        <family val="2"/>
        <scheme val="minor"/>
      </rPr>
      <t xml:space="preserve">X </t>
    </r>
    <r>
      <rPr>
        <sz val="12"/>
        <color rgb="FF0D0D0D"/>
        <rFont val="Calibri"/>
        <family val="2"/>
        <scheme val="minor"/>
      </rPr>
      <t>≤ 120</t>
    </r>
  </si>
  <si>
    <r>
      <t xml:space="preserve">120 &lt; </t>
    </r>
    <r>
      <rPr>
        <i/>
        <sz val="12"/>
        <color rgb="FF0D0D0D"/>
        <rFont val="Calibri"/>
        <family val="2"/>
        <scheme val="minor"/>
      </rPr>
      <t xml:space="preserve">X </t>
    </r>
    <r>
      <rPr>
        <sz val="12"/>
        <color rgb="FF0D0D0D"/>
        <rFont val="Calibri"/>
        <family val="2"/>
        <scheme val="minor"/>
      </rPr>
      <t>≤ 150</t>
    </r>
  </si>
  <si>
    <r>
      <t xml:space="preserve">150 &lt; </t>
    </r>
    <r>
      <rPr>
        <i/>
        <sz val="12"/>
        <color rgb="FF0D0D0D"/>
        <rFont val="Calibri"/>
        <family val="2"/>
        <scheme val="minor"/>
      </rPr>
      <t xml:space="preserve">X </t>
    </r>
    <r>
      <rPr>
        <sz val="12"/>
        <color rgb="FF0D0D0D"/>
        <rFont val="Calibri"/>
        <family val="2"/>
        <scheme val="minor"/>
      </rPr>
      <t>≤ 180</t>
    </r>
  </si>
  <si>
    <r>
      <t xml:space="preserve">180 &lt; </t>
    </r>
    <r>
      <rPr>
        <i/>
        <sz val="12"/>
        <color rgb="FF0D0D0D"/>
        <rFont val="Calibri"/>
        <family val="2"/>
        <scheme val="minor"/>
      </rPr>
      <t xml:space="preserve">X </t>
    </r>
    <r>
      <rPr>
        <sz val="12"/>
        <color rgb="FF0D0D0D"/>
        <rFont val="Calibri"/>
        <family val="2"/>
        <scheme val="minor"/>
      </rPr>
      <t>≤ 210</t>
    </r>
  </si>
  <si>
    <r>
      <t xml:space="preserve">210 &lt; </t>
    </r>
    <r>
      <rPr>
        <i/>
        <sz val="12"/>
        <color rgb="FF0D0D0D"/>
        <rFont val="Calibri"/>
        <family val="2"/>
        <scheme val="minor"/>
      </rPr>
      <t xml:space="preserve">X </t>
    </r>
    <r>
      <rPr>
        <sz val="12"/>
        <color rgb="FF0D0D0D"/>
        <rFont val="Calibri"/>
        <family val="2"/>
        <scheme val="minor"/>
      </rPr>
      <t>≤ 240</t>
    </r>
  </si>
  <si>
    <t>Expected Frequency</t>
  </si>
  <si>
    <t>Chi Square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</si>
</sst>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rgb="FF0D0D0D"/>
      <name val="Calibri"/>
      <family val="2"/>
      <scheme val="minor"/>
    </font>
    <font>
      <i/>
      <sz val="12"/>
      <color rgb="FF0D0D0D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1" fillId="3" borderId="2" xfId="0" applyFont="1" applyFill="1" applyBorder="1"/>
    <xf numFmtId="21" fontId="0" fillId="0" borderId="1" xfId="0" applyNumberFormat="1" applyBorder="1"/>
    <xf numFmtId="0" fontId="0" fillId="5" borderId="1" xfId="0" applyFill="1" applyBorder="1"/>
    <xf numFmtId="0" fontId="5" fillId="0" borderId="1" xfId="0" applyFont="1" applyBorder="1"/>
    <xf numFmtId="0" fontId="3" fillId="0" borderId="1" xfId="0" applyFont="1" applyBorder="1"/>
    <xf numFmtId="0" fontId="0" fillId="4" borderId="1" xfId="0" applyFill="1" applyBorder="1"/>
    <xf numFmtId="1" fontId="0" fillId="4" borderId="1" xfId="0" applyNumberFormat="1" applyFill="1" applyBorder="1"/>
    <xf numFmtId="164" fontId="0" fillId="4" borderId="1" xfId="0" applyNumberFormat="1" applyFill="1" applyBorder="1"/>
    <xf numFmtId="2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Sheet1!$G$48:$G$55</c:f>
              <c:strCache>
                <c:ptCount val="8"/>
                <c:pt idx="0">
                  <c:v>0 - 30 </c:v>
                </c:pt>
                <c:pt idx="1">
                  <c:v>30- 60 </c:v>
                </c:pt>
                <c:pt idx="2">
                  <c:v>60 - 90 </c:v>
                </c:pt>
                <c:pt idx="3">
                  <c:v>90 - 120 </c:v>
                </c:pt>
                <c:pt idx="4">
                  <c:v>120 - 150 </c:v>
                </c:pt>
                <c:pt idx="5">
                  <c:v>150 - 180 </c:v>
                </c:pt>
                <c:pt idx="6">
                  <c:v>180 - 210 </c:v>
                </c:pt>
                <c:pt idx="7">
                  <c:v>210 - 240 </c:v>
                </c:pt>
              </c:strCache>
            </c:strRef>
          </c:cat>
          <c:val>
            <c:numRef>
              <c:f>Sheet1!$H$48:$H$55</c:f>
              <c:numCache>
                <c:formatCode>General</c:formatCode>
                <c:ptCount val="8"/>
                <c:pt idx="0">
                  <c:v>45</c:v>
                </c:pt>
                <c:pt idx="1">
                  <c:v>25</c:v>
                </c:pt>
                <c:pt idx="2">
                  <c:v>11</c:v>
                </c:pt>
                <c:pt idx="3">
                  <c:v>10</c:v>
                </c:pt>
                <c:pt idx="4">
                  <c:v>6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F-45E0-A1B0-1586756665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2298079"/>
        <c:axId val="2012295679"/>
      </c:barChart>
      <c:catAx>
        <c:axId val="201229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295679"/>
        <c:crosses val="autoZero"/>
        <c:auto val="1"/>
        <c:lblAlgn val="ctr"/>
        <c:lblOffset val="100"/>
        <c:noMultiLvlLbl val="0"/>
      </c:catAx>
      <c:valAx>
        <c:axId val="201229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n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</a:rPr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29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BOX AND WHISKER PLOT</cx:v>
        </cx:txData>
      </cx:tx>
      <cx:spPr>
        <a:solidFill>
          <a:schemeClr val="bg2"/>
        </a:solidFill>
        <a:ln>
          <a:solidFill>
            <a:schemeClr val="tx1"/>
          </a:solidFill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n>
                <a:solidFill>
                  <a:schemeClr val="tx1"/>
                </a:solidFill>
              </a:ln>
            </a:defRPr>
          </a:pPr>
          <a:r>
            <a:rPr lang="en-US" sz="1400" b="0" i="0" u="none" strike="noStrike" baseline="0">
              <a:ln>
                <a:solidFill>
                  <a:schemeClr val="tx1"/>
                </a:solidFill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AND WHISKER PLOT</a:t>
          </a:r>
        </a:p>
      </cx:txPr>
    </cx:title>
    <cx:plotArea>
      <cx:plotAreaRegion>
        <cx:series layoutId="boxWhisker" uniqueId="{E8402693-9552-4828-86AF-0A28EAB33255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16</xdr:row>
      <xdr:rowOff>26670</xdr:rowOff>
    </xdr:from>
    <xdr:to>
      <xdr:col>14</xdr:col>
      <xdr:colOff>114300</xdr:colOff>
      <xdr:row>35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BF448CF-B541-3344-787E-FB0CDD4429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44340" y="2952750"/>
              <a:ext cx="8702040" cy="3592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312420</xdr:colOff>
      <xdr:row>45</xdr:row>
      <xdr:rowOff>171450</xdr:rowOff>
    </xdr:from>
    <xdr:to>
      <xdr:col>18</xdr:col>
      <xdr:colOff>220980</xdr:colOff>
      <xdr:row>65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E94AC7-3210-D2AE-D92C-708E30DE2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5452-2B8A-4AA7-B717-3685F6E36BBE}">
  <dimension ref="A1:T101"/>
  <sheetViews>
    <sheetView tabSelected="1" zoomScale="56" zoomScaleNormal="110" workbookViewId="0">
      <selection activeCell="L73" sqref="L73"/>
    </sheetView>
  </sheetViews>
  <sheetFormatPr defaultRowHeight="14.4" x14ac:dyDescent="0.3"/>
  <cols>
    <col min="3" max="3" width="19.88671875" bestFit="1" customWidth="1"/>
    <col min="6" max="6" width="6.33203125" customWidth="1"/>
    <col min="7" max="7" width="14.21875" bestFit="1" customWidth="1"/>
    <col min="8" max="8" width="15.109375" customWidth="1"/>
    <col min="9" max="9" width="18.33203125" bestFit="1" customWidth="1"/>
    <col min="10" max="10" width="15" bestFit="1" customWidth="1"/>
    <col min="11" max="11" width="18" bestFit="1" customWidth="1"/>
    <col min="12" max="12" width="20.6640625" bestFit="1" customWidth="1"/>
    <col min="13" max="15" width="12" bestFit="1" customWidth="1"/>
    <col min="17" max="17" width="17.33203125" bestFit="1" customWidth="1"/>
    <col min="19" max="19" width="18.44140625" bestFit="1" customWidth="1"/>
  </cols>
  <sheetData>
    <row r="1" spans="1:20" s="4" customFormat="1" x14ac:dyDescent="0.3">
      <c r="A1" s="4" t="s">
        <v>120</v>
      </c>
      <c r="B1" s="4" t="s">
        <v>0</v>
      </c>
      <c r="C1" s="4" t="s">
        <v>1</v>
      </c>
      <c r="D1" s="4" t="s">
        <v>2</v>
      </c>
      <c r="E1" s="7"/>
      <c r="S1" s="5"/>
      <c r="T1" s="5"/>
    </row>
    <row r="2" spans="1:20" x14ac:dyDescent="0.3">
      <c r="A2" s="6">
        <v>1</v>
      </c>
      <c r="B2" s="6" t="s">
        <v>3</v>
      </c>
      <c r="C2" s="8">
        <v>0.41706018518518517</v>
      </c>
      <c r="D2" s="6">
        <v>0</v>
      </c>
    </row>
    <row r="3" spans="1:20" x14ac:dyDescent="0.3">
      <c r="A3" s="6">
        <v>2</v>
      </c>
      <c r="B3" s="6" t="s">
        <v>4</v>
      </c>
      <c r="C3" s="8">
        <v>0.41740740740740739</v>
      </c>
      <c r="D3" s="6">
        <v>30</v>
      </c>
    </row>
    <row r="4" spans="1:20" x14ac:dyDescent="0.3">
      <c r="A4" s="6">
        <v>3</v>
      </c>
      <c r="B4" s="6" t="s">
        <v>5</v>
      </c>
      <c r="C4" s="8">
        <v>0.41817129629629629</v>
      </c>
      <c r="D4" s="6">
        <v>66</v>
      </c>
      <c r="G4" s="2" t="s">
        <v>103</v>
      </c>
      <c r="H4" s="3">
        <f>AVERAGE(D2:D101)</f>
        <v>50.17</v>
      </c>
    </row>
    <row r="5" spans="1:20" x14ac:dyDescent="0.3">
      <c r="A5" s="6">
        <v>4</v>
      </c>
      <c r="B5" s="6" t="s">
        <v>6</v>
      </c>
      <c r="C5" s="8">
        <v>0.41853009259259261</v>
      </c>
      <c r="D5" s="6">
        <v>31</v>
      </c>
      <c r="G5" s="2" t="s">
        <v>104</v>
      </c>
      <c r="H5" s="3">
        <f>MEDIAN(D2:D101)</f>
        <v>40.5</v>
      </c>
    </row>
    <row r="6" spans="1:20" x14ac:dyDescent="0.3">
      <c r="A6" s="6">
        <v>5</v>
      </c>
      <c r="B6" s="6" t="s">
        <v>7</v>
      </c>
      <c r="C6" s="8">
        <v>0.41885416666666669</v>
      </c>
      <c r="D6" s="6">
        <v>28</v>
      </c>
      <c r="G6" s="2" t="s">
        <v>105</v>
      </c>
      <c r="H6" s="3">
        <f>_xlfn.STDEV.S(D2:D101)</f>
        <v>46.322334643978024</v>
      </c>
    </row>
    <row r="7" spans="1:20" x14ac:dyDescent="0.3">
      <c r="A7" s="6">
        <v>6</v>
      </c>
      <c r="B7" s="6" t="s">
        <v>8</v>
      </c>
      <c r="C7" s="8">
        <v>0.41898148148148145</v>
      </c>
      <c r="D7" s="6">
        <v>11</v>
      </c>
      <c r="G7" s="1"/>
    </row>
    <row r="8" spans="1:20" x14ac:dyDescent="0.3">
      <c r="A8" s="6">
        <v>7</v>
      </c>
      <c r="B8" s="6" t="s">
        <v>9</v>
      </c>
      <c r="C8" s="8">
        <v>0.41945601851851849</v>
      </c>
      <c r="D8" s="6">
        <v>41</v>
      </c>
      <c r="G8" s="4" t="s">
        <v>106</v>
      </c>
    </row>
    <row r="9" spans="1:20" x14ac:dyDescent="0.3">
      <c r="A9" s="6">
        <v>8</v>
      </c>
      <c r="B9" s="6" t="s">
        <v>10</v>
      </c>
      <c r="C9" s="8">
        <v>0.42056712962962961</v>
      </c>
      <c r="D9" s="6">
        <v>96</v>
      </c>
      <c r="G9" s="2" t="s">
        <v>107</v>
      </c>
      <c r="H9" s="3">
        <f>_xlfn.QUARTILE.EXC(D2:D101,1)</f>
        <v>15.25</v>
      </c>
    </row>
    <row r="10" spans="1:20" x14ac:dyDescent="0.3">
      <c r="A10" s="6">
        <v>9</v>
      </c>
      <c r="B10" s="6" t="s">
        <v>11</v>
      </c>
      <c r="C10" s="8">
        <v>0.42105324074074074</v>
      </c>
      <c r="D10" s="6">
        <v>42</v>
      </c>
      <c r="G10" s="2" t="s">
        <v>108</v>
      </c>
      <c r="H10" s="3">
        <f>_xlfn.QUARTILE.EXC(D2:D101,2)</f>
        <v>40.5</v>
      </c>
    </row>
    <row r="11" spans="1:20" x14ac:dyDescent="0.3">
      <c r="A11" s="6">
        <v>10</v>
      </c>
      <c r="B11" s="6" t="s">
        <v>12</v>
      </c>
      <c r="C11" s="8">
        <v>0.42119212962962965</v>
      </c>
      <c r="D11" s="6">
        <v>12</v>
      </c>
      <c r="G11" s="2" t="s">
        <v>109</v>
      </c>
      <c r="H11" s="3">
        <f>_xlfn.QUARTILE.EXC(D2:D101,3)</f>
        <v>80.75</v>
      </c>
    </row>
    <row r="12" spans="1:20" x14ac:dyDescent="0.3">
      <c r="A12" s="6">
        <v>11</v>
      </c>
      <c r="B12" s="6" t="s">
        <v>13</v>
      </c>
      <c r="C12" s="8">
        <v>0.42206018518518518</v>
      </c>
      <c r="D12" s="6">
        <v>75</v>
      </c>
    </row>
    <row r="13" spans="1:20" x14ac:dyDescent="0.3">
      <c r="A13" s="6">
        <v>12</v>
      </c>
      <c r="B13" s="6" t="s">
        <v>14</v>
      </c>
      <c r="C13" s="8">
        <v>0.42215277777777777</v>
      </c>
      <c r="D13" s="6">
        <v>8</v>
      </c>
      <c r="G13" s="2" t="s">
        <v>121</v>
      </c>
      <c r="H13" s="3">
        <f>MIN(D2:D101)</f>
        <v>0</v>
      </c>
    </row>
    <row r="14" spans="1:20" x14ac:dyDescent="0.3">
      <c r="A14" s="6">
        <v>13</v>
      </c>
      <c r="B14" s="6" t="s">
        <v>15</v>
      </c>
      <c r="C14" s="8">
        <v>0.42236111111111113</v>
      </c>
      <c r="D14" s="6">
        <v>18</v>
      </c>
      <c r="G14" s="2" t="s">
        <v>122</v>
      </c>
      <c r="H14" s="3">
        <f>MAX(D2:D101)</f>
        <v>216</v>
      </c>
    </row>
    <row r="15" spans="1:20" x14ac:dyDescent="0.3">
      <c r="A15" s="6">
        <v>14</v>
      </c>
      <c r="B15" s="6" t="s">
        <v>16</v>
      </c>
      <c r="C15" s="8">
        <v>0.4236111111111111</v>
      </c>
      <c r="D15" s="6">
        <v>108</v>
      </c>
    </row>
    <row r="16" spans="1:20" x14ac:dyDescent="0.3">
      <c r="A16" s="6">
        <v>15</v>
      </c>
      <c r="B16" s="6" t="s">
        <v>17</v>
      </c>
      <c r="C16" s="8">
        <v>0.4241435185185185</v>
      </c>
      <c r="D16" s="6">
        <v>46</v>
      </c>
    </row>
    <row r="17" spans="1:4" x14ac:dyDescent="0.3">
      <c r="A17" s="6">
        <v>16</v>
      </c>
      <c r="B17" s="6" t="s">
        <v>18</v>
      </c>
      <c r="C17" s="8">
        <v>0.42556712962962961</v>
      </c>
      <c r="D17" s="6">
        <v>123</v>
      </c>
    </row>
    <row r="18" spans="1:4" x14ac:dyDescent="0.3">
      <c r="A18" s="6">
        <v>17</v>
      </c>
      <c r="B18" s="6" t="s">
        <v>19</v>
      </c>
      <c r="C18" s="8">
        <v>0.42563657407407407</v>
      </c>
      <c r="D18" s="6">
        <v>6</v>
      </c>
    </row>
    <row r="19" spans="1:4" x14ac:dyDescent="0.3">
      <c r="A19" s="6">
        <v>18</v>
      </c>
      <c r="B19" s="6" t="s">
        <v>20</v>
      </c>
      <c r="C19" s="8">
        <v>0.42662037037037037</v>
      </c>
      <c r="D19" s="6">
        <v>85</v>
      </c>
    </row>
    <row r="20" spans="1:4" x14ac:dyDescent="0.3">
      <c r="A20" s="6">
        <v>19</v>
      </c>
      <c r="B20" s="6" t="s">
        <v>21</v>
      </c>
      <c r="C20" s="8">
        <v>0.42682870370370368</v>
      </c>
      <c r="D20" s="6">
        <v>18</v>
      </c>
    </row>
    <row r="21" spans="1:4" x14ac:dyDescent="0.3">
      <c r="A21" s="6">
        <v>20</v>
      </c>
      <c r="B21" s="6" t="s">
        <v>22</v>
      </c>
      <c r="C21" s="8">
        <v>0.4279513888888889</v>
      </c>
      <c r="D21" s="6">
        <v>97</v>
      </c>
    </row>
    <row r="22" spans="1:4" x14ac:dyDescent="0.3">
      <c r="A22" s="6">
        <v>21</v>
      </c>
      <c r="B22" s="6" t="s">
        <v>23</v>
      </c>
      <c r="C22" s="8">
        <v>0.42818287037037039</v>
      </c>
      <c r="D22" s="6">
        <v>20</v>
      </c>
    </row>
    <row r="23" spans="1:4" x14ac:dyDescent="0.3">
      <c r="A23" s="6">
        <v>22</v>
      </c>
      <c r="B23" s="6" t="s">
        <v>24</v>
      </c>
      <c r="C23" s="8">
        <v>0.42842592592592593</v>
      </c>
      <c r="D23" s="6">
        <v>21</v>
      </c>
    </row>
    <row r="24" spans="1:4" x14ac:dyDescent="0.3">
      <c r="A24" s="6">
        <v>23</v>
      </c>
      <c r="B24" s="6" t="s">
        <v>25</v>
      </c>
      <c r="C24" s="8">
        <v>0.42848379629629629</v>
      </c>
      <c r="D24" s="6">
        <v>5</v>
      </c>
    </row>
    <row r="25" spans="1:4" x14ac:dyDescent="0.3">
      <c r="A25" s="6">
        <v>24</v>
      </c>
      <c r="B25" s="6" t="s">
        <v>26</v>
      </c>
      <c r="C25" s="8">
        <v>0.42912037037037037</v>
      </c>
      <c r="D25" s="6">
        <v>55</v>
      </c>
    </row>
    <row r="26" spans="1:4" x14ac:dyDescent="0.3">
      <c r="A26" s="6">
        <v>25</v>
      </c>
      <c r="B26" s="6" t="s">
        <v>27</v>
      </c>
      <c r="C26" s="8">
        <v>0.42918981481481483</v>
      </c>
      <c r="D26" s="6">
        <v>6</v>
      </c>
    </row>
    <row r="27" spans="1:4" x14ac:dyDescent="0.3">
      <c r="A27" s="6">
        <v>26</v>
      </c>
      <c r="B27" s="6" t="s">
        <v>28</v>
      </c>
      <c r="C27" s="8">
        <v>0.43037037037037035</v>
      </c>
      <c r="D27" s="6">
        <v>102</v>
      </c>
    </row>
    <row r="28" spans="1:4" x14ac:dyDescent="0.3">
      <c r="A28" s="6">
        <v>27</v>
      </c>
      <c r="B28" s="6" t="s">
        <v>29</v>
      </c>
      <c r="C28" s="8">
        <v>0.43133101851851852</v>
      </c>
      <c r="D28" s="6">
        <v>83</v>
      </c>
    </row>
    <row r="29" spans="1:4" x14ac:dyDescent="0.3">
      <c r="A29" s="6">
        <v>28</v>
      </c>
      <c r="B29" s="6" t="s">
        <v>30</v>
      </c>
      <c r="C29" s="8">
        <v>0.4314236111111111</v>
      </c>
      <c r="D29" s="6">
        <v>8</v>
      </c>
    </row>
    <row r="30" spans="1:4" x14ac:dyDescent="0.3">
      <c r="A30" s="6">
        <v>29</v>
      </c>
      <c r="B30" s="6" t="s">
        <v>31</v>
      </c>
      <c r="C30" s="8">
        <v>0.43244212962962963</v>
      </c>
      <c r="D30" s="6">
        <v>88</v>
      </c>
    </row>
    <row r="31" spans="1:4" x14ac:dyDescent="0.3">
      <c r="A31" s="6">
        <v>30</v>
      </c>
      <c r="B31" s="6" t="s">
        <v>32</v>
      </c>
      <c r="C31" s="8">
        <v>0.43377314814814816</v>
      </c>
      <c r="D31" s="6">
        <v>115</v>
      </c>
    </row>
    <row r="32" spans="1:4" x14ac:dyDescent="0.3">
      <c r="A32" s="6">
        <v>31</v>
      </c>
      <c r="B32" s="6" t="s">
        <v>33</v>
      </c>
      <c r="C32" s="8">
        <v>0.43396990740740743</v>
      </c>
      <c r="D32" s="6">
        <v>17</v>
      </c>
    </row>
    <row r="33" spans="1:8" x14ac:dyDescent="0.3">
      <c r="A33" s="6">
        <v>32</v>
      </c>
      <c r="B33" s="6" t="s">
        <v>34</v>
      </c>
      <c r="C33" s="8">
        <v>0.43402777777777779</v>
      </c>
      <c r="D33" s="6">
        <v>5</v>
      </c>
    </row>
    <row r="34" spans="1:8" x14ac:dyDescent="0.3">
      <c r="A34" s="6">
        <v>33</v>
      </c>
      <c r="B34" s="6" t="s">
        <v>35</v>
      </c>
      <c r="C34" s="8">
        <v>0.43435185185185188</v>
      </c>
      <c r="D34" s="6">
        <v>28</v>
      </c>
    </row>
    <row r="35" spans="1:8" x14ac:dyDescent="0.3">
      <c r="A35" s="6">
        <v>34</v>
      </c>
      <c r="B35" s="6" t="s">
        <v>36</v>
      </c>
      <c r="C35" s="8">
        <v>0.43501157407407409</v>
      </c>
      <c r="D35" s="6">
        <v>57</v>
      </c>
    </row>
    <row r="36" spans="1:8" x14ac:dyDescent="0.3">
      <c r="A36" s="6">
        <v>35</v>
      </c>
      <c r="B36" s="6" t="s">
        <v>37</v>
      </c>
      <c r="C36" s="8">
        <v>0.43616898148148148</v>
      </c>
      <c r="D36" s="6">
        <v>100</v>
      </c>
    </row>
    <row r="37" spans="1:8" x14ac:dyDescent="0.3">
      <c r="A37" s="6">
        <v>36</v>
      </c>
      <c r="B37" s="6" t="s">
        <v>38</v>
      </c>
      <c r="C37" s="8">
        <v>0.43756944444444446</v>
      </c>
      <c r="D37" s="6">
        <v>121</v>
      </c>
    </row>
    <row r="38" spans="1:8" x14ac:dyDescent="0.3">
      <c r="A38" s="6">
        <v>37</v>
      </c>
      <c r="B38" s="6" t="s">
        <v>39</v>
      </c>
      <c r="C38" s="8">
        <v>0.43864583333333335</v>
      </c>
      <c r="D38" s="6">
        <v>93</v>
      </c>
    </row>
    <row r="39" spans="1:8" x14ac:dyDescent="0.3">
      <c r="A39" s="6">
        <v>38</v>
      </c>
      <c r="B39" s="6" t="s">
        <v>40</v>
      </c>
      <c r="C39" s="8">
        <v>0.43929398148148147</v>
      </c>
      <c r="D39" s="6">
        <v>56</v>
      </c>
    </row>
    <row r="40" spans="1:8" x14ac:dyDescent="0.3">
      <c r="A40" s="6">
        <v>39</v>
      </c>
      <c r="B40" s="6" t="s">
        <v>41</v>
      </c>
      <c r="C40" s="8">
        <v>0.43959490740740742</v>
      </c>
      <c r="D40" s="6">
        <v>26</v>
      </c>
    </row>
    <row r="41" spans="1:8" x14ac:dyDescent="0.3">
      <c r="A41" s="6">
        <v>40</v>
      </c>
      <c r="B41" s="6" t="s">
        <v>42</v>
      </c>
      <c r="C41" s="8">
        <v>0.44012731481481482</v>
      </c>
      <c r="D41" s="6">
        <v>46</v>
      </c>
    </row>
    <row r="42" spans="1:8" x14ac:dyDescent="0.3">
      <c r="A42" s="6">
        <v>41</v>
      </c>
      <c r="B42" s="6" t="s">
        <v>43</v>
      </c>
      <c r="C42" s="8">
        <v>0.44028935185185186</v>
      </c>
      <c r="D42" s="6">
        <v>14</v>
      </c>
    </row>
    <row r="43" spans="1:8" x14ac:dyDescent="0.3">
      <c r="A43" s="6">
        <v>42</v>
      </c>
      <c r="B43" s="6" t="s">
        <v>44</v>
      </c>
      <c r="C43" s="8">
        <v>0.44035879629629632</v>
      </c>
      <c r="D43" s="6">
        <v>6</v>
      </c>
    </row>
    <row r="44" spans="1:8" x14ac:dyDescent="0.3">
      <c r="A44" s="6">
        <v>43</v>
      </c>
      <c r="B44" s="6" t="s">
        <v>45</v>
      </c>
      <c r="C44" s="8">
        <v>0.44052083333333331</v>
      </c>
      <c r="D44" s="6">
        <v>14</v>
      </c>
    </row>
    <row r="45" spans="1:8" x14ac:dyDescent="0.3">
      <c r="A45" s="6">
        <v>44</v>
      </c>
      <c r="B45" s="6" t="s">
        <v>46</v>
      </c>
      <c r="C45" s="8">
        <v>0.4405324074074074</v>
      </c>
      <c r="D45" s="6">
        <v>1</v>
      </c>
    </row>
    <row r="46" spans="1:8" x14ac:dyDescent="0.3">
      <c r="A46" s="6">
        <v>45</v>
      </c>
      <c r="B46" s="6" t="s">
        <v>47</v>
      </c>
      <c r="C46" s="8">
        <v>0.4430324074074074</v>
      </c>
      <c r="D46" s="6">
        <v>216</v>
      </c>
    </row>
    <row r="47" spans="1:8" x14ac:dyDescent="0.3">
      <c r="A47" s="6">
        <v>46</v>
      </c>
      <c r="B47" s="6" t="s">
        <v>48</v>
      </c>
      <c r="C47" s="8">
        <v>0.4440162037037037</v>
      </c>
      <c r="D47" s="6">
        <v>85</v>
      </c>
      <c r="G47" s="4" t="s">
        <v>110</v>
      </c>
      <c r="H47" s="4" t="s">
        <v>118</v>
      </c>
    </row>
    <row r="48" spans="1:8" x14ac:dyDescent="0.3">
      <c r="A48" s="6">
        <v>47</v>
      </c>
      <c r="B48" s="6" t="s">
        <v>49</v>
      </c>
      <c r="C48" s="8">
        <v>0.44434027777777779</v>
      </c>
      <c r="D48" s="6">
        <v>28</v>
      </c>
      <c r="G48" s="6" t="s">
        <v>111</v>
      </c>
      <c r="H48" s="6">
        <f>COUNTIFS(D2:D101,"&gt;=0",D2:D101,"&lt;=30")</f>
        <v>45</v>
      </c>
    </row>
    <row r="49" spans="1:8" x14ac:dyDescent="0.3">
      <c r="A49" s="6">
        <v>48</v>
      </c>
      <c r="B49" s="6" t="s">
        <v>50</v>
      </c>
      <c r="C49" s="8">
        <v>0.44482638888888887</v>
      </c>
      <c r="D49" s="6">
        <v>42</v>
      </c>
      <c r="G49" s="6" t="s">
        <v>119</v>
      </c>
      <c r="H49" s="6">
        <f>COUNTIFS(D3:D102,"&gt;30",D3:D102,"&lt;=60")</f>
        <v>25</v>
      </c>
    </row>
    <row r="50" spans="1:8" x14ac:dyDescent="0.3">
      <c r="A50" s="6">
        <v>49</v>
      </c>
      <c r="B50" s="6" t="s">
        <v>51</v>
      </c>
      <c r="C50" s="8">
        <v>0.44484953703703706</v>
      </c>
      <c r="D50" s="6">
        <v>2</v>
      </c>
      <c r="G50" s="6" t="s">
        <v>112</v>
      </c>
      <c r="H50" s="6">
        <f>COUNTIFS(D4:D103,"&gt;60",D4:D103,"&lt;=90")</f>
        <v>11</v>
      </c>
    </row>
    <row r="51" spans="1:8" x14ac:dyDescent="0.3">
      <c r="A51" s="6">
        <v>50</v>
      </c>
      <c r="B51" s="6" t="s">
        <v>52</v>
      </c>
      <c r="C51" s="8">
        <v>0.44506944444444446</v>
      </c>
      <c r="D51" s="6">
        <v>19</v>
      </c>
      <c r="G51" s="6" t="s">
        <v>113</v>
      </c>
      <c r="H51" s="6">
        <f>COUNTIFS(D5:D104,"&gt;90",D5:D104,"&lt;=120")</f>
        <v>10</v>
      </c>
    </row>
    <row r="52" spans="1:8" x14ac:dyDescent="0.3">
      <c r="A52" s="6">
        <v>51</v>
      </c>
      <c r="B52" s="6" t="s">
        <v>53</v>
      </c>
      <c r="C52" s="8">
        <v>0.44624999999999998</v>
      </c>
      <c r="D52" s="6">
        <v>102</v>
      </c>
      <c r="G52" s="6" t="s">
        <v>114</v>
      </c>
      <c r="H52" s="6">
        <f>COUNTIFS(D6:D105,"&gt;120",D6:D105,"&lt;=150")</f>
        <v>6</v>
      </c>
    </row>
    <row r="53" spans="1:8" x14ac:dyDescent="0.3">
      <c r="A53" s="6">
        <v>52</v>
      </c>
      <c r="B53" s="6" t="s">
        <v>54</v>
      </c>
      <c r="C53" s="8">
        <v>0.44627314814814817</v>
      </c>
      <c r="D53" s="6">
        <v>2</v>
      </c>
      <c r="G53" s="6" t="s">
        <v>115</v>
      </c>
      <c r="H53" s="6">
        <f>COUNTIFS(D7:D106,"&gt;150",D7:D106,"&lt;=180")</f>
        <v>1</v>
      </c>
    </row>
    <row r="54" spans="1:8" x14ac:dyDescent="0.3">
      <c r="A54" s="6">
        <v>53</v>
      </c>
      <c r="B54" s="6" t="s">
        <v>55</v>
      </c>
      <c r="C54" s="8">
        <v>0.44638888888888889</v>
      </c>
      <c r="D54" s="6">
        <v>10</v>
      </c>
      <c r="G54" s="6" t="s">
        <v>116</v>
      </c>
      <c r="H54" s="6">
        <f>COUNTIFS(D8:D107,"&gt;180",D8:D107,"&lt;=210")</f>
        <v>0</v>
      </c>
    </row>
    <row r="55" spans="1:8" x14ac:dyDescent="0.3">
      <c r="A55" s="6">
        <v>54</v>
      </c>
      <c r="B55" s="6" t="s">
        <v>56</v>
      </c>
      <c r="C55" s="8">
        <v>0.44689814814814816</v>
      </c>
      <c r="D55" s="6">
        <v>44</v>
      </c>
      <c r="G55" s="6" t="s">
        <v>117</v>
      </c>
      <c r="H55" s="6">
        <f>COUNTIFS(D9:D108,"&gt;210",D9:D108,"&lt;=240")</f>
        <v>2</v>
      </c>
    </row>
    <row r="56" spans="1:8" x14ac:dyDescent="0.3">
      <c r="A56" s="6">
        <v>55</v>
      </c>
      <c r="B56" s="6" t="s">
        <v>57</v>
      </c>
      <c r="C56" s="8">
        <v>0.44690972222222225</v>
      </c>
      <c r="D56" s="6">
        <v>1</v>
      </c>
    </row>
    <row r="57" spans="1:8" x14ac:dyDescent="0.3">
      <c r="A57" s="6">
        <v>56</v>
      </c>
      <c r="B57" s="6" t="s">
        <v>58</v>
      </c>
      <c r="C57" s="8">
        <v>0.44785879629629627</v>
      </c>
      <c r="D57" s="6">
        <v>82</v>
      </c>
    </row>
    <row r="58" spans="1:8" x14ac:dyDescent="0.3">
      <c r="A58" s="6">
        <v>57</v>
      </c>
      <c r="B58" s="6" t="s">
        <v>59</v>
      </c>
      <c r="C58" s="8">
        <v>0.44831018518518517</v>
      </c>
      <c r="D58" s="6">
        <v>39</v>
      </c>
    </row>
    <row r="59" spans="1:8" x14ac:dyDescent="0.3">
      <c r="A59" s="6">
        <v>58</v>
      </c>
      <c r="B59" s="6" t="s">
        <v>60</v>
      </c>
      <c r="C59" s="8">
        <v>0.44846064814814812</v>
      </c>
      <c r="D59" s="6">
        <v>13</v>
      </c>
    </row>
    <row r="60" spans="1:8" x14ac:dyDescent="0.3">
      <c r="A60" s="6">
        <v>59</v>
      </c>
      <c r="B60" s="6" t="s">
        <v>61</v>
      </c>
      <c r="C60" s="8">
        <v>0.44935185185185184</v>
      </c>
      <c r="D60" s="6">
        <v>77</v>
      </c>
    </row>
    <row r="61" spans="1:8" x14ac:dyDescent="0.3">
      <c r="A61" s="6">
        <v>60</v>
      </c>
      <c r="B61" s="6" t="s">
        <v>62</v>
      </c>
      <c r="C61" s="8">
        <v>0.4500925925925926</v>
      </c>
      <c r="D61" s="6">
        <v>64</v>
      </c>
    </row>
    <row r="62" spans="1:8" x14ac:dyDescent="0.3">
      <c r="A62" s="6">
        <v>61</v>
      </c>
      <c r="B62" s="6" t="s">
        <v>63</v>
      </c>
      <c r="C62" s="8">
        <v>0.45027777777777778</v>
      </c>
      <c r="D62" s="6">
        <v>16</v>
      </c>
    </row>
    <row r="63" spans="1:8" x14ac:dyDescent="0.3">
      <c r="A63" s="6">
        <v>62</v>
      </c>
      <c r="B63" s="6" t="s">
        <v>64</v>
      </c>
      <c r="C63" s="8">
        <v>0.45045138888888892</v>
      </c>
      <c r="D63" s="6">
        <v>15</v>
      </c>
    </row>
    <row r="64" spans="1:8" x14ac:dyDescent="0.3">
      <c r="A64" s="6">
        <v>63</v>
      </c>
      <c r="B64" s="6" t="s">
        <v>65</v>
      </c>
      <c r="C64" s="8">
        <v>0.45144675925925926</v>
      </c>
      <c r="D64" s="6">
        <v>86</v>
      </c>
    </row>
    <row r="65" spans="1:12" x14ac:dyDescent="0.3">
      <c r="A65" s="6">
        <v>64</v>
      </c>
      <c r="B65" s="6" t="s">
        <v>66</v>
      </c>
      <c r="C65" s="8">
        <v>0.45223379629629629</v>
      </c>
      <c r="D65" s="6">
        <v>68</v>
      </c>
    </row>
    <row r="66" spans="1:12" x14ac:dyDescent="0.3">
      <c r="A66" s="6">
        <v>65</v>
      </c>
      <c r="B66" s="6" t="s">
        <v>67</v>
      </c>
      <c r="C66" s="8">
        <v>0.45245370370370369</v>
      </c>
      <c r="D66" s="6">
        <v>19</v>
      </c>
    </row>
    <row r="67" spans="1:12" x14ac:dyDescent="0.3">
      <c r="A67" s="6">
        <v>66</v>
      </c>
      <c r="B67" s="6" t="s">
        <v>68</v>
      </c>
      <c r="C67" s="8">
        <v>0.45253472222222224</v>
      </c>
      <c r="D67" s="6">
        <v>7</v>
      </c>
    </row>
    <row r="68" spans="1:12" x14ac:dyDescent="0.3">
      <c r="A68" s="6">
        <v>67</v>
      </c>
      <c r="B68" s="6" t="s">
        <v>69</v>
      </c>
      <c r="C68" s="8">
        <v>0.4525925925925926</v>
      </c>
      <c r="D68" s="6">
        <v>5</v>
      </c>
    </row>
    <row r="69" spans="1:12" x14ac:dyDescent="0.3">
      <c r="A69" s="6">
        <v>68</v>
      </c>
      <c r="B69" s="6" t="s">
        <v>70</v>
      </c>
      <c r="C69" s="8">
        <v>0.45314814814814813</v>
      </c>
      <c r="D69" s="6">
        <v>48</v>
      </c>
    </row>
    <row r="70" spans="1:12" x14ac:dyDescent="0.3">
      <c r="A70" s="6">
        <v>69</v>
      </c>
      <c r="B70" s="6" t="s">
        <v>71</v>
      </c>
      <c r="C70" s="8">
        <v>0.45336805555555554</v>
      </c>
      <c r="D70" s="6">
        <v>19</v>
      </c>
    </row>
    <row r="71" spans="1:12" x14ac:dyDescent="0.3">
      <c r="A71" s="6">
        <v>70</v>
      </c>
      <c r="B71" s="6" t="s">
        <v>72</v>
      </c>
      <c r="C71" s="8">
        <v>0.45372685185185185</v>
      </c>
      <c r="D71" s="6">
        <v>31</v>
      </c>
    </row>
    <row r="72" spans="1:12" x14ac:dyDescent="0.3">
      <c r="A72" s="6">
        <v>71</v>
      </c>
      <c r="B72" s="6" t="s">
        <v>73</v>
      </c>
      <c r="C72" s="8">
        <v>0.45534722222222224</v>
      </c>
      <c r="D72" s="6">
        <v>140</v>
      </c>
      <c r="G72" s="9" t="s">
        <v>124</v>
      </c>
      <c r="H72" s="9"/>
      <c r="I72" s="9" t="s">
        <v>125</v>
      </c>
      <c r="J72" s="9" t="s">
        <v>126</v>
      </c>
      <c r="K72" s="9" t="s">
        <v>134</v>
      </c>
      <c r="L72" s="9" t="s">
        <v>135</v>
      </c>
    </row>
    <row r="73" spans="1:12" ht="15.6" x14ac:dyDescent="0.3">
      <c r="A73" s="6">
        <v>72</v>
      </c>
      <c r="B73" s="6" t="s">
        <v>74</v>
      </c>
      <c r="C73" s="8">
        <v>0.45584490740740741</v>
      </c>
      <c r="D73" s="6">
        <v>43</v>
      </c>
      <c r="G73" s="6" t="s">
        <v>111</v>
      </c>
      <c r="H73" s="10" t="s">
        <v>123</v>
      </c>
      <c r="I73" s="6">
        <v>45</v>
      </c>
      <c r="J73" s="6">
        <f>GAMMADIST(30, 1, 50.17, 1)</f>
        <v>0.45007144681704764</v>
      </c>
      <c r="K73" s="6">
        <f>J73*100</f>
        <v>45.007144681704766</v>
      </c>
      <c r="L73" s="6">
        <f>(I73-K73)^2/K73</f>
        <v>1.1341860725318386E-6</v>
      </c>
    </row>
    <row r="74" spans="1:12" ht="15.6" x14ac:dyDescent="0.3">
      <c r="A74" s="6">
        <v>73</v>
      </c>
      <c r="B74" s="6" t="s">
        <v>75</v>
      </c>
      <c r="C74" s="8">
        <v>0.45652777777777775</v>
      </c>
      <c r="D74" s="6">
        <v>59</v>
      </c>
      <c r="G74" s="6" t="s">
        <v>119</v>
      </c>
      <c r="H74" s="11" t="s">
        <v>127</v>
      </c>
      <c r="I74" s="6">
        <v>25</v>
      </c>
      <c r="J74" s="6">
        <f>GAMMADIST(60, 1, 50.17, 1) - GAMMADIST(30, 1, 50.17, 1)</f>
        <v>0.24750713957705722</v>
      </c>
      <c r="K74" s="6">
        <f t="shared" ref="K74:K80" si="0">J74*100</f>
        <v>24.750713957705724</v>
      </c>
      <c r="L74" s="6">
        <f t="shared" ref="L74:L80" si="1">(I74-K74)^2/K74</f>
        <v>2.5107773048056383E-3</v>
      </c>
    </row>
    <row r="75" spans="1:12" ht="15.6" x14ac:dyDescent="0.3">
      <c r="A75" s="6">
        <v>74</v>
      </c>
      <c r="B75" s="6" t="s">
        <v>76</v>
      </c>
      <c r="C75" s="8">
        <v>0.45672453703703703</v>
      </c>
      <c r="D75" s="6">
        <v>17</v>
      </c>
      <c r="G75" s="6" t="s">
        <v>112</v>
      </c>
      <c r="H75" s="11" t="s">
        <v>128</v>
      </c>
      <c r="I75" s="6">
        <v>11</v>
      </c>
      <c r="J75" s="6">
        <f>GAMMADIST(90, 1, 50.17, 1) - GAMMADIST(60, 1, 50.17, 1)</f>
        <v>0.13611124317006196</v>
      </c>
      <c r="K75" s="6">
        <f t="shared" si="0"/>
        <v>13.611124317006196</v>
      </c>
      <c r="L75" s="6">
        <f t="shared" si="1"/>
        <v>0.50091161024387021</v>
      </c>
    </row>
    <row r="76" spans="1:12" ht="15.6" x14ac:dyDescent="0.3">
      <c r="A76" s="6">
        <v>75</v>
      </c>
      <c r="B76" s="6" t="s">
        <v>77</v>
      </c>
      <c r="C76" s="8">
        <v>0.45782407407407405</v>
      </c>
      <c r="D76" s="6">
        <v>95</v>
      </c>
      <c r="G76" s="6" t="s">
        <v>113</v>
      </c>
      <c r="H76" s="11" t="s">
        <v>129</v>
      </c>
      <c r="I76" s="6">
        <v>10</v>
      </c>
      <c r="J76" s="6">
        <f>GAMMADIST(120, 1, 50.17, 1) - GAMMADIST(90, 1, 50.17, 1)</f>
        <v>7.4851459028445255E-2</v>
      </c>
      <c r="K76" s="6">
        <f t="shared" si="0"/>
        <v>7.4851459028445255</v>
      </c>
      <c r="L76" s="6">
        <f t="shared" si="1"/>
        <v>0.84493892464757792</v>
      </c>
    </row>
    <row r="77" spans="1:12" ht="15.6" x14ac:dyDescent="0.3">
      <c r="A77" s="6">
        <v>76</v>
      </c>
      <c r="B77" s="6" t="s">
        <v>78</v>
      </c>
      <c r="C77" s="8">
        <v>0.45788194444444447</v>
      </c>
      <c r="D77" s="6">
        <v>5</v>
      </c>
      <c r="G77" s="6" t="s">
        <v>114</v>
      </c>
      <c r="H77" s="11" t="s">
        <v>130</v>
      </c>
      <c r="I77" s="6">
        <v>6</v>
      </c>
      <c r="J77" s="6">
        <f>GAMMADIST(150, 1, 50.17, 1) - GAMMADIST(120, 1, 50.17, 1)</f>
        <v>4.1162954567145915E-2</v>
      </c>
      <c r="K77" s="6">
        <f t="shared" si="0"/>
        <v>4.1162954567145915</v>
      </c>
      <c r="L77" s="6">
        <f t="shared" si="1"/>
        <v>0.86202335175089395</v>
      </c>
    </row>
    <row r="78" spans="1:12" ht="15.6" x14ac:dyDescent="0.3">
      <c r="A78" s="6">
        <v>77</v>
      </c>
      <c r="B78" s="6" t="s">
        <v>79</v>
      </c>
      <c r="C78" s="8">
        <v>0.46032407407407405</v>
      </c>
      <c r="D78" s="6">
        <v>211</v>
      </c>
      <c r="G78" s="6" t="s">
        <v>115</v>
      </c>
      <c r="H78" s="11" t="s">
        <v>131</v>
      </c>
      <c r="I78" s="6">
        <v>1</v>
      </c>
      <c r="J78" s="6">
        <f>GAMMADIST(180, 1, 50.17, 1) - GAMMADIST(150, 1, 50.17, 1)</f>
        <v>2.263668404984609E-2</v>
      </c>
      <c r="K78" s="6">
        <f t="shared" si="0"/>
        <v>2.263668404984609</v>
      </c>
      <c r="L78" s="6">
        <f t="shared" si="1"/>
        <v>0.70542922021620169</v>
      </c>
    </row>
    <row r="79" spans="1:12" ht="15.6" x14ac:dyDescent="0.3">
      <c r="A79" s="6">
        <v>78</v>
      </c>
      <c r="B79" s="6" t="s">
        <v>80</v>
      </c>
      <c r="C79" s="8">
        <v>0.46062500000000001</v>
      </c>
      <c r="D79" s="6">
        <v>26</v>
      </c>
      <c r="G79" s="6" t="s">
        <v>116</v>
      </c>
      <c r="H79" s="11" t="s">
        <v>132</v>
      </c>
      <c r="I79" s="6">
        <v>0</v>
      </c>
      <c r="J79" s="6">
        <f>GAMMADIST(210, 1, 50.17, 1) - GAMMADIST(180, 1, 50.17, 1)</f>
        <v>1.2448558908391583E-2</v>
      </c>
      <c r="K79" s="6">
        <f t="shared" si="0"/>
        <v>1.2448558908391583</v>
      </c>
      <c r="L79" s="6">
        <f t="shared" si="1"/>
        <v>1.2448558908391583</v>
      </c>
    </row>
    <row r="80" spans="1:12" ht="15.6" x14ac:dyDescent="0.3">
      <c r="A80" s="6">
        <v>79</v>
      </c>
      <c r="B80" s="6" t="s">
        <v>81</v>
      </c>
      <c r="C80" s="8">
        <v>0.46114583333333331</v>
      </c>
      <c r="D80" s="6">
        <v>45</v>
      </c>
      <c r="G80" s="6" t="s">
        <v>117</v>
      </c>
      <c r="H80" s="11" t="s">
        <v>133</v>
      </c>
      <c r="I80" s="6">
        <v>2</v>
      </c>
      <c r="J80" s="6">
        <f>GAMMADIST(240, 1, 50.17, 1) - GAMMADIST(210, 1, 50.17, 1)</f>
        <v>6.8458179897045168E-3</v>
      </c>
      <c r="K80" s="6">
        <f t="shared" si="0"/>
        <v>0.68458179897045168</v>
      </c>
      <c r="L80" s="6">
        <f t="shared" si="1"/>
        <v>2.5275650714086519</v>
      </c>
    </row>
    <row r="81" spans="1:12" x14ac:dyDescent="0.3">
      <c r="A81" s="6">
        <v>80</v>
      </c>
      <c r="B81" s="6" t="s">
        <v>82</v>
      </c>
      <c r="C81" s="8">
        <v>0.46162037037037035</v>
      </c>
      <c r="D81" s="6">
        <v>41</v>
      </c>
      <c r="G81" s="6"/>
      <c r="H81" s="6"/>
      <c r="I81" s="12">
        <f>SUM(I73:I80)</f>
        <v>100</v>
      </c>
      <c r="J81" s="13">
        <f>SUM(J73:J80)</f>
        <v>0.99163530410770018</v>
      </c>
      <c r="K81" s="14">
        <f>SUM(K73:K80)</f>
        <v>99.163530410770036</v>
      </c>
      <c r="L81" s="15">
        <f>SUM(L73:L80)</f>
        <v>6.6882359805972325</v>
      </c>
    </row>
    <row r="82" spans="1:12" x14ac:dyDescent="0.3">
      <c r="A82" s="6">
        <v>81</v>
      </c>
      <c r="B82" s="6" t="s">
        <v>83</v>
      </c>
      <c r="C82" s="8">
        <v>0.4616898148148148</v>
      </c>
      <c r="D82" s="6">
        <v>6</v>
      </c>
    </row>
    <row r="83" spans="1:12" x14ac:dyDescent="0.3">
      <c r="A83" s="6">
        <v>82</v>
      </c>
      <c r="B83" s="6" t="s">
        <v>84</v>
      </c>
      <c r="C83" s="8">
        <v>0.46230324074074075</v>
      </c>
      <c r="D83" s="6">
        <v>53</v>
      </c>
    </row>
    <row r="84" spans="1:12" x14ac:dyDescent="0.3">
      <c r="A84" s="6">
        <v>83</v>
      </c>
      <c r="B84" s="6" t="s">
        <v>85</v>
      </c>
      <c r="C84" s="8">
        <v>0.46288194444444447</v>
      </c>
      <c r="D84" s="6">
        <v>50</v>
      </c>
    </row>
    <row r="85" spans="1:12" x14ac:dyDescent="0.3">
      <c r="A85" s="6">
        <v>84</v>
      </c>
      <c r="B85" s="6" t="s">
        <v>86</v>
      </c>
      <c r="C85" s="8">
        <v>0.46312500000000001</v>
      </c>
      <c r="D85" s="6">
        <v>21</v>
      </c>
    </row>
    <row r="86" spans="1:12" x14ac:dyDescent="0.3">
      <c r="A86" s="6">
        <v>85</v>
      </c>
      <c r="B86" s="6" t="s">
        <v>87</v>
      </c>
      <c r="C86" s="8">
        <v>0.46431712962962962</v>
      </c>
      <c r="D86" s="6">
        <v>103</v>
      </c>
    </row>
    <row r="87" spans="1:12" x14ac:dyDescent="0.3">
      <c r="A87" s="6">
        <v>86</v>
      </c>
      <c r="B87" s="6" t="s">
        <v>88</v>
      </c>
      <c r="C87" s="8">
        <v>0.46640046296296295</v>
      </c>
      <c r="D87" s="6">
        <v>180</v>
      </c>
    </row>
    <row r="88" spans="1:12" x14ac:dyDescent="0.3">
      <c r="A88" s="6">
        <v>87</v>
      </c>
      <c r="B88" s="6" t="s">
        <v>89</v>
      </c>
      <c r="C88" s="8">
        <v>0.46789351851851851</v>
      </c>
      <c r="D88" s="6">
        <v>129</v>
      </c>
    </row>
    <row r="89" spans="1:12" x14ac:dyDescent="0.3">
      <c r="A89" s="6">
        <v>88</v>
      </c>
      <c r="B89" s="6" t="s">
        <v>90</v>
      </c>
      <c r="C89" s="8">
        <v>0.4684490740740741</v>
      </c>
      <c r="D89" s="6">
        <v>48</v>
      </c>
    </row>
    <row r="90" spans="1:12" x14ac:dyDescent="0.3">
      <c r="A90" s="6">
        <v>89</v>
      </c>
      <c r="B90" s="6" t="s">
        <v>91</v>
      </c>
      <c r="C90" s="8">
        <v>0.46891203703703704</v>
      </c>
      <c r="D90" s="6">
        <v>40</v>
      </c>
    </row>
    <row r="91" spans="1:12" x14ac:dyDescent="0.3">
      <c r="A91" s="6">
        <v>90</v>
      </c>
      <c r="B91" s="6" t="s">
        <v>92</v>
      </c>
      <c r="C91" s="8">
        <v>0.46934027777777776</v>
      </c>
      <c r="D91" s="6">
        <v>37</v>
      </c>
    </row>
    <row r="92" spans="1:12" x14ac:dyDescent="0.3">
      <c r="A92" s="6">
        <v>91</v>
      </c>
      <c r="B92" s="6" t="s">
        <v>93</v>
      </c>
      <c r="C92" s="8">
        <v>0.46938657407407408</v>
      </c>
      <c r="D92" s="6">
        <v>4</v>
      </c>
    </row>
    <row r="93" spans="1:12" x14ac:dyDescent="0.3">
      <c r="A93" s="6">
        <v>92</v>
      </c>
      <c r="B93" s="6" t="s">
        <v>94</v>
      </c>
      <c r="C93" s="8">
        <v>0.46988425925925925</v>
      </c>
      <c r="D93" s="6">
        <v>43</v>
      </c>
    </row>
    <row r="94" spans="1:12" x14ac:dyDescent="0.3">
      <c r="A94" s="6">
        <v>93</v>
      </c>
      <c r="B94" s="6" t="s">
        <v>95</v>
      </c>
      <c r="C94" s="8">
        <v>0.47057870370370369</v>
      </c>
      <c r="D94" s="6">
        <v>60</v>
      </c>
    </row>
    <row r="95" spans="1:12" x14ac:dyDescent="0.3">
      <c r="A95" s="6">
        <v>94</v>
      </c>
      <c r="B95" s="6" t="s">
        <v>96</v>
      </c>
      <c r="C95" s="8">
        <v>0.47219907407407408</v>
      </c>
      <c r="D95" s="6">
        <v>140</v>
      </c>
    </row>
    <row r="96" spans="1:12" x14ac:dyDescent="0.3">
      <c r="A96" s="6">
        <v>95</v>
      </c>
      <c r="B96" s="6" t="s">
        <v>97</v>
      </c>
      <c r="C96" s="8">
        <v>0.47271990740740738</v>
      </c>
      <c r="D96" s="6">
        <v>45</v>
      </c>
    </row>
    <row r="97" spans="1:4" x14ac:dyDescent="0.3">
      <c r="A97" s="6">
        <v>96</v>
      </c>
      <c r="B97" s="6" t="s">
        <v>98</v>
      </c>
      <c r="C97" s="8">
        <v>0.47290509259259261</v>
      </c>
      <c r="D97" s="6">
        <v>16</v>
      </c>
    </row>
    <row r="98" spans="1:4" x14ac:dyDescent="0.3">
      <c r="A98" s="6">
        <v>97</v>
      </c>
      <c r="B98" s="6" t="s">
        <v>99</v>
      </c>
      <c r="C98" s="8">
        <v>0.47309027777777779</v>
      </c>
      <c r="D98" s="6">
        <v>16</v>
      </c>
    </row>
    <row r="99" spans="1:4" x14ac:dyDescent="0.3">
      <c r="A99" s="6">
        <v>98</v>
      </c>
      <c r="B99" s="6" t="s">
        <v>100</v>
      </c>
      <c r="C99" s="8">
        <v>0.47322916666666665</v>
      </c>
      <c r="D99" s="6">
        <v>12</v>
      </c>
    </row>
    <row r="100" spans="1:4" x14ac:dyDescent="0.3">
      <c r="A100" s="6">
        <v>99</v>
      </c>
      <c r="B100" s="6" t="s">
        <v>101</v>
      </c>
      <c r="C100" s="8">
        <v>0.47350694444444447</v>
      </c>
      <c r="D100" s="6">
        <v>24</v>
      </c>
    </row>
    <row r="101" spans="1:4" x14ac:dyDescent="0.3">
      <c r="A101" s="6">
        <v>100</v>
      </c>
      <c r="B101" s="6" t="s">
        <v>102</v>
      </c>
      <c r="C101" s="8">
        <v>0.47512731481481479</v>
      </c>
      <c r="D101" s="6">
        <v>140</v>
      </c>
    </row>
  </sheetData>
  <sortState xmlns:xlrd2="http://schemas.microsoft.com/office/spreadsheetml/2017/richdata2" ref="S2:S9">
    <sortCondition ref="S2"/>
  </sortState>
  <pageMargins left="0.7" right="0.7" top="0.75" bottom="0.75" header="0.3" footer="0.3"/>
  <customProperties>
    <customPr name="EpmWorksheetKeyString_GUID" r:id="rId1"/>
  </customProperties>
  <ignoredErrors>
    <ignoredError sqref="Q23 H49:H55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TAHURA SOHA</dc:creator>
  <cp:lastModifiedBy>TAHURA SOHA</cp:lastModifiedBy>
  <dcterms:created xsi:type="dcterms:W3CDTF">2024-03-26T01:10:09Z</dcterms:created>
  <dcterms:modified xsi:type="dcterms:W3CDTF">2025-12-15T04:06:00Z</dcterms:modified>
</cp:coreProperties>
</file>